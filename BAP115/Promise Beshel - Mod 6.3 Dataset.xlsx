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YU ENSIGN\BAP115.001\"/>
    </mc:Choice>
  </mc:AlternateContent>
  <xr:revisionPtr revIDLastSave="0" documentId="13_ncr:1_{2977DEE4-21A8-48D7-A352-2D5F6F595B3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me Office Equipme Pivot Table" sheetId="2" r:id="rId1"/>
    <sheet name="Home Office Equipment Inventory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<sst xmlns="http://schemas.openxmlformats.org/spreadsheetml/2006/main" count="82" uniqueCount="54">
  <si>
    <t>Item Name (ID)</t>
  </si>
  <si>
    <t>Category</t>
  </si>
  <si>
    <t>Brand</t>
  </si>
  <si>
    <t>Purchase Year</t>
  </si>
  <si>
    <t>Work Laptop</t>
  </si>
  <si>
    <t>Computer</t>
  </si>
  <si>
    <t>Dell</t>
  </si>
  <si>
    <t>Personal Laptop</t>
  </si>
  <si>
    <t>Apple</t>
  </si>
  <si>
    <t>27-inch Monitor</t>
  </si>
  <si>
    <t>Peripheral</t>
  </si>
  <si>
    <t>LG</t>
  </si>
  <si>
    <t>24-inch Monitor</t>
  </si>
  <si>
    <t>Wireless Mouse</t>
  </si>
  <si>
    <t>Accessory</t>
  </si>
  <si>
    <t>Logitech</t>
  </si>
  <si>
    <t>Mechanical Keyboard</t>
  </si>
  <si>
    <t>Corsair</t>
  </si>
  <si>
    <t>HD Webcam</t>
  </si>
  <si>
    <t>Noise Cancel Headset</t>
  </si>
  <si>
    <t>Audio</t>
  </si>
  <si>
    <t>Sony</t>
  </si>
  <si>
    <t>Desk Microphone</t>
  </si>
  <si>
    <t>Blue</t>
  </si>
  <si>
    <t>Office Chair</t>
  </si>
  <si>
    <t>Furniture</t>
  </si>
  <si>
    <t>Herman Miller</t>
  </si>
  <si>
    <t>Standing Desk</t>
  </si>
  <si>
    <t>Ikea</t>
  </si>
  <si>
    <t>WiFi Router</t>
  </si>
  <si>
    <t>Network</t>
  </si>
  <si>
    <t>Asus</t>
  </si>
  <si>
    <t>Network Switch</t>
  </si>
  <si>
    <t>TP-Link</t>
  </si>
  <si>
    <t>External Hard Drive</t>
  </si>
  <si>
    <t>Storage</t>
  </si>
  <si>
    <t>Seagate</t>
  </si>
  <si>
    <t>USB-C Hub</t>
  </si>
  <si>
    <t>Anker</t>
  </si>
  <si>
    <t>Desk Lamp</t>
  </si>
  <si>
    <t>Phillips</t>
  </si>
  <si>
    <t>Tablet</t>
  </si>
  <si>
    <t>Smart Speaker</t>
  </si>
  <si>
    <t>Google</t>
  </si>
  <si>
    <t>Printer</t>
  </si>
  <si>
    <t>HP</t>
  </si>
  <si>
    <t>Surge Protector</t>
  </si>
  <si>
    <t>Belkin</t>
  </si>
  <si>
    <t>Cost</t>
  </si>
  <si>
    <t>Sum of Cost</t>
  </si>
  <si>
    <t>(All)</t>
  </si>
  <si>
    <t>Grand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</si>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</sst>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[Promise Beshel - Mod 6.3 Dataset.xlsx]Home Office Equipme 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Expenditure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'Home Office Equipme Pivot Table'!$B$5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'Home Office Equipme Pivot Table'!$A$6:$A$13</c:f>
              <c:strCache>
                <c:ptCount val="7"/>
                <c:pt idx="0">
                  <c:v>Accessory</c:v>
                </c:pt>
                <c:pt idx="1">
                  <c:v>Audio</c:v>
                </c:pt>
                <c:pt idx="2">
                  <c:v>Computer</c:v>
                </c:pt>
                <c:pt idx="3">
                  <c:v>Furniture</c:v>
                </c:pt>
                <c:pt idx="4">
                  <c:v>Network</c:v>
                </c:pt>
                <c:pt idx="5">
                  <c:v>Peripheral</c:v>
                </c:pt>
                <c:pt idx="6">
                  <c:v>Storage</c:v>
                </c:pt>
              </c:strCache>
            </c:strRef>
          </c:cat>
          <c:val>
            <c:numRef>
              <c:f>'Home Office Equipme Pivot Table'!$B$6:$B$13</c:f>
              <c:numCache>
                <c:formatCode>_-[$$-409]* #,##0.00_ ;_-[$$-409]* \-#,##0.00\ ;_-[$$-409]* "-"??_ ;_-@_ </c:formatCode>
                <c:ptCount val="7"/>
                <c:pt idx="0">
                  <c:v>260</c:v>
                </c:pt>
                <c:pt idx="1">
                  <c:v>400</c:v>
                </c:pt>
                <c:pt idx="2">
                  <c:v>3300</c:v>
                </c:pt>
                <c:pt idx="3">
                  <c:v>1245</c:v>
                </c:pt>
                <c:pt idx="4">
                  <c:v>240</c:v>
                </c:pt>
                <c:pt idx="5">
                  <c:v>780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A-45DF-8F16-146B9BA911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14287</xdr:rowOff>
    </xdr:from>
    <xdr:to>
      <xdr:col>7</xdr:col>
      <xdr:colOff>666750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A7F42-E074-E047-ADF8-E54A17216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eco11" refreshedDate="45995.826402199076" createdVersion="8" refreshedVersion="8" minRefreshableVersion="3" recordCount="20" xr:uid="{949E7988-B56C-4E03-83C9-C0E23BC54F46}">
  <cacheSource type="worksheet">
    <worksheetSource name="Mod_6.3_DataSet"/>
  </cacheSource>
  <cacheFields count="5">
    <cacheField name="Item Name (ID)" numFmtId="0">
      <sharedItems count="20">
        <s v="Work Laptop"/>
        <s v="Personal Laptop"/>
        <s v="27-inch Monitor"/>
        <s v="24-inch Monitor"/>
        <s v="Wireless Mouse"/>
        <s v="Mechanical Keyboard"/>
        <s v="HD Webcam"/>
        <s v="Noise Cancel Headset"/>
        <s v="Desk Microphone"/>
        <s v="Office Chair"/>
        <s v="Standing Desk"/>
        <s v="WiFi Router"/>
        <s v="Network Switch"/>
        <s v="External Hard Drive"/>
        <s v="USB-C Hub"/>
        <s v="Desk Lamp"/>
        <s v="Tablet"/>
        <s v="Smart Speaker"/>
        <s v="Printer"/>
        <s v="Surge Protector"/>
      </sharedItems>
    </cacheField>
    <cacheField name="Category" numFmtId="0">
      <sharedItems count="7">
        <s v="Computer"/>
        <s v="Peripheral"/>
        <s v="Accessory"/>
        <s v="Audio"/>
        <s v="Furniture"/>
        <s v="Network"/>
        <s v="Storage"/>
      </sharedItems>
    </cacheField>
    <cacheField name="Brand" numFmtId="0">
      <sharedItems count="17">
        <s v="Dell"/>
        <s v="Apple"/>
        <s v="LG"/>
        <s v="Logitech"/>
        <s v="Corsair"/>
        <s v="Sony"/>
        <s v="Blue"/>
        <s v="Herman Miller"/>
        <s v="Ikea"/>
        <s v="Asus"/>
        <s v="TP-Link"/>
        <s v="Seagate"/>
        <s v="Anker"/>
        <s v="Phillips"/>
        <s v="Google"/>
        <s v="HP"/>
        <s v="Belkin"/>
      </sharedItems>
    </cacheField>
    <cacheField name="Purchase Year" numFmtId="0">
      <sharedItems containsSemiMixedTypes="0" containsString="0" containsNumber="1" containsInteger="1" minValue="2019" maxValue="2023" count="5">
        <n v="2023"/>
        <n v="2021"/>
        <n v="2022"/>
        <n v="2020"/>
        <n v="2019"/>
      </sharedItems>
    </cacheField>
    <cacheField name="Cost" numFmtId="165">
      <sharedItems containsSemiMixedTypes="0" containsString="0" containsNumber="1" containsInteger="1" minValue="3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n v="1200"/>
  </r>
  <r>
    <x v="1"/>
    <x v="0"/>
    <x v="1"/>
    <x v="1"/>
    <n v="1500"/>
  </r>
  <r>
    <x v="2"/>
    <x v="1"/>
    <x v="2"/>
    <x v="2"/>
    <n v="300"/>
  </r>
  <r>
    <x v="3"/>
    <x v="1"/>
    <x v="0"/>
    <x v="0"/>
    <n v="250"/>
  </r>
  <r>
    <x v="4"/>
    <x v="2"/>
    <x v="3"/>
    <x v="0"/>
    <n v="50"/>
  </r>
  <r>
    <x v="5"/>
    <x v="2"/>
    <x v="4"/>
    <x v="2"/>
    <n v="120"/>
  </r>
  <r>
    <x v="6"/>
    <x v="1"/>
    <x v="3"/>
    <x v="1"/>
    <n v="80"/>
  </r>
  <r>
    <x v="7"/>
    <x v="3"/>
    <x v="5"/>
    <x v="0"/>
    <n v="250"/>
  </r>
  <r>
    <x v="8"/>
    <x v="3"/>
    <x v="6"/>
    <x v="3"/>
    <n v="100"/>
  </r>
  <r>
    <x v="9"/>
    <x v="4"/>
    <x v="7"/>
    <x v="4"/>
    <n v="800"/>
  </r>
  <r>
    <x v="10"/>
    <x v="4"/>
    <x v="8"/>
    <x v="2"/>
    <n v="400"/>
  </r>
  <r>
    <x v="11"/>
    <x v="5"/>
    <x v="9"/>
    <x v="0"/>
    <n v="200"/>
  </r>
  <r>
    <x v="12"/>
    <x v="5"/>
    <x v="10"/>
    <x v="1"/>
    <n v="40"/>
  </r>
  <r>
    <x v="13"/>
    <x v="6"/>
    <x v="11"/>
    <x v="2"/>
    <n v="90"/>
  </r>
  <r>
    <x v="14"/>
    <x v="2"/>
    <x v="12"/>
    <x v="0"/>
    <n v="60"/>
  </r>
  <r>
    <x v="15"/>
    <x v="4"/>
    <x v="13"/>
    <x v="3"/>
    <n v="45"/>
  </r>
  <r>
    <x v="16"/>
    <x v="0"/>
    <x v="1"/>
    <x v="1"/>
    <n v="600"/>
  </r>
  <r>
    <x v="17"/>
    <x v="3"/>
    <x v="14"/>
    <x v="2"/>
    <n v="50"/>
  </r>
  <r>
    <x v="18"/>
    <x v="1"/>
    <x v="15"/>
    <x v="4"/>
    <n v="150"/>
  </r>
  <r>
    <x v="19"/>
    <x v="2"/>
    <x v="16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03B46-61EE-4B76-AC75-031961F6AC4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3" firstHeaderRow="1" firstDataRow="1" firstDataCol="1" rowPageCount="3" colPageCount="1"/>
  <pivotFields count="5">
    <pivotField axis="axisPage" showAll="0">
      <items count="21">
        <item sd="0" x="3"/>
        <item sd="0" x="2"/>
        <item sd="0" x="15"/>
        <item x="8"/>
        <item x="13"/>
        <item x="6"/>
        <item x="5"/>
        <item x="12"/>
        <item x="7"/>
        <item x="9"/>
        <item x="1"/>
        <item x="18"/>
        <item x="17"/>
        <item x="10"/>
        <item x="19"/>
        <item x="16"/>
        <item x="14"/>
        <item x="11"/>
        <item x="4"/>
        <item x="0"/>
        <item t="default"/>
      </items>
    </pivotField>
    <pivotField axis="axisRow" showAll="0">
      <items count="8">
        <item sd="0" x="2"/>
        <item sd="0" x="3"/>
        <item sd="0" x="0"/>
        <item sd="0" x="4"/>
        <item sd="0" x="5"/>
        <item sd="0" x="1"/>
        <item sd="0" x="6"/>
        <item t="default"/>
      </items>
    </pivotField>
    <pivotField axis="axisPage" showAll="0">
      <items count="18">
        <item x="12"/>
        <item x="1"/>
        <item x="9"/>
        <item x="16"/>
        <item x="6"/>
        <item x="4"/>
        <item x="0"/>
        <item x="14"/>
        <item x="7"/>
        <item x="15"/>
        <item x="8"/>
        <item x="2"/>
        <item x="3"/>
        <item x="13"/>
        <item x="11"/>
        <item x="5"/>
        <item x="10"/>
        <item t="default"/>
      </items>
    </pivotField>
    <pivotField axis="axisPage" showAll="0">
      <items count="6">
        <item x="4"/>
        <item x="3"/>
        <item x="1"/>
        <item x="2"/>
        <item x="0"/>
        <item t="default"/>
      </items>
    </pivotField>
    <pivotField dataField="1"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3">
    <pageField fld="3" hier="-1"/>
    <pageField fld="2" hier="-1"/>
    <pageField fld="0" hier="-1"/>
  </pageFields>
  <dataFields count="1">
    <dataField name="Sum of Cost" fld="4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9002C-0C9D-4747-A6F1-35340892D711}" name="Mod_6.3_DataSet" displayName="Mod_6.3_DataSet" ref="A1:E22" totalsRowCount="1" headerRowDxfId="5" dataDxfId="8">
  <autoFilter ref="A1:E21" xr:uid="{96F9002C-0C9D-4747-A6F1-35340892D711}"/>
  <tableColumns count="5">
    <tableColumn id="1" xr3:uid="{E13D7B3E-E8A9-49EF-84FD-145F1BBCBE14}" name="Item Name (ID)" totalsRowLabel="Total" dataDxfId="11" totalsRowDxfId="4"/>
    <tableColumn id="2" xr3:uid="{7B614022-A391-403F-A193-829B59FC26B5}" name="Category" dataDxfId="10" totalsRowDxfId="3"/>
    <tableColumn id="3" xr3:uid="{3F2C023B-D2DC-48D6-868E-B4DE3358A300}" name="Brand" dataDxfId="9" totalsRowDxfId="2"/>
    <tableColumn id="4" xr3:uid="{53B79C69-7410-488A-AEEB-7A93E360D8E8}" name="Purchase Year" dataDxfId="7" totalsRowDxfId="1"/>
    <tableColumn id="5" xr3:uid="{C83A1921-B8BD-4D00-B894-CD300B5D3C72}" name="Cost" totalsRowFunction="sum" dataDxfId="6" totalsRow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D5C6-B00D-4B10-8012-85751E9CBAEB}">
  <dimension ref="A1:B13"/>
  <sheetViews>
    <sheetView tabSelected="1" zoomScale="120" zoomScaleNormal="120" workbookViewId="0">
      <selection activeCell="C21" sqref="C21"/>
    </sheetView>
  </sheetViews>
  <sheetFormatPr defaultRowHeight="12.75" x14ac:dyDescent="0.2"/>
  <cols>
    <col min="1" max="1" width="13.85546875" bestFit="1" customWidth="1"/>
    <col min="2" max="2" width="11.85546875" bestFit="1" customWidth="1"/>
    <col min="3" max="3" width="15" bestFit="1" customWidth="1"/>
    <col min="4" max="4" width="11" bestFit="1" customWidth="1"/>
    <col min="5" max="5" width="16.7109375" bestFit="1" customWidth="1"/>
    <col min="6" max="6" width="19" bestFit="1" customWidth="1"/>
    <col min="7" max="7" width="12.140625" bestFit="1" customWidth="1"/>
    <col min="8" max="8" width="21" bestFit="1" customWidth="1"/>
    <col min="9" max="9" width="15.28515625" bestFit="1" customWidth="1"/>
    <col min="10" max="10" width="21" bestFit="1" customWidth="1"/>
    <col min="11" max="11" width="11.7109375" bestFit="1" customWidth="1"/>
    <col min="12" max="12" width="16" bestFit="1" customWidth="1"/>
    <col min="13" max="13" width="8.7109375" bestFit="1" customWidth="1"/>
    <col min="14" max="14" width="14.7109375" bestFit="1" customWidth="1"/>
    <col min="15" max="15" width="14.140625" bestFit="1" customWidth="1"/>
    <col min="16" max="16" width="15.42578125" bestFit="1" customWidth="1"/>
    <col min="17" max="17" width="8.7109375" bestFit="1" customWidth="1"/>
    <col min="18" max="18" width="10.85546875" bestFit="1" customWidth="1"/>
    <col min="19" max="19" width="11.7109375" bestFit="1" customWidth="1"/>
    <col min="20" max="20" width="15.28515625" bestFit="1" customWidth="1"/>
    <col min="21" max="21" width="12.5703125" bestFit="1" customWidth="1"/>
    <col min="22" max="22" width="11.7109375" bestFit="1" customWidth="1"/>
    <col min="23" max="23" width="9.28515625" bestFit="1" customWidth="1"/>
    <col min="24" max="24" width="10" bestFit="1" customWidth="1"/>
    <col min="25" max="25" width="10.5703125" bestFit="1" customWidth="1"/>
    <col min="26" max="26" width="8.7109375" bestFit="1" customWidth="1"/>
    <col min="27" max="27" width="10.85546875" bestFit="1" customWidth="1"/>
    <col min="28" max="28" width="10.5703125" bestFit="1" customWidth="1"/>
    <col min="29" max="29" width="14.140625" bestFit="1" customWidth="1"/>
    <col min="30" max="30" width="9.7109375" bestFit="1" customWidth="1"/>
    <col min="31" max="31" width="12.85546875" bestFit="1" customWidth="1"/>
    <col min="32" max="32" width="10.5703125" bestFit="1" customWidth="1"/>
    <col min="33" max="33" width="13.85546875" bestFit="1" customWidth="1"/>
    <col min="34" max="34" width="8.7109375" bestFit="1" customWidth="1"/>
    <col min="35" max="35" width="10.7109375" bestFit="1" customWidth="1"/>
    <col min="36" max="36" width="9.85546875" bestFit="1" customWidth="1"/>
    <col min="37" max="37" width="13.140625" bestFit="1" customWidth="1"/>
    <col min="38" max="38" width="11.7109375" bestFit="1" customWidth="1"/>
  </cols>
  <sheetData>
    <row r="1" spans="1:2" x14ac:dyDescent="0.2">
      <c r="A1" s="4" t="s">
        <v>3</v>
      </c>
      <c r="B1" t="s">
        <v>50</v>
      </c>
    </row>
    <row r="2" spans="1:2" x14ac:dyDescent="0.2">
      <c r="A2" s="4" t="s">
        <v>2</v>
      </c>
      <c r="B2" t="s">
        <v>50</v>
      </c>
    </row>
    <row r="3" spans="1:2" x14ac:dyDescent="0.2">
      <c r="A3" s="4" t="s">
        <v>0</v>
      </c>
      <c r="B3" t="s">
        <v>50</v>
      </c>
    </row>
    <row r="5" spans="1:2" x14ac:dyDescent="0.2">
      <c r="A5" s="4" t="s">
        <v>52</v>
      </c>
      <c r="B5" t="s">
        <v>49</v>
      </c>
    </row>
    <row r="6" spans="1:2" x14ac:dyDescent="0.2">
      <c r="A6" s="5" t="s">
        <v>14</v>
      </c>
      <c r="B6" s="3">
        <v>260</v>
      </c>
    </row>
    <row r="7" spans="1:2" x14ac:dyDescent="0.2">
      <c r="A7" s="5" t="s">
        <v>20</v>
      </c>
      <c r="B7" s="3">
        <v>400</v>
      </c>
    </row>
    <row r="8" spans="1:2" x14ac:dyDescent="0.2">
      <c r="A8" s="5" t="s">
        <v>5</v>
      </c>
      <c r="B8" s="3">
        <v>3300</v>
      </c>
    </row>
    <row r="9" spans="1:2" x14ac:dyDescent="0.2">
      <c r="A9" s="5" t="s">
        <v>25</v>
      </c>
      <c r="B9" s="3">
        <v>1245</v>
      </c>
    </row>
    <row r="10" spans="1:2" x14ac:dyDescent="0.2">
      <c r="A10" s="5" t="s">
        <v>30</v>
      </c>
      <c r="B10" s="3">
        <v>240</v>
      </c>
    </row>
    <row r="11" spans="1:2" x14ac:dyDescent="0.2">
      <c r="A11" s="5" t="s">
        <v>10</v>
      </c>
      <c r="B11" s="3">
        <v>780</v>
      </c>
    </row>
    <row r="12" spans="1:2" x14ac:dyDescent="0.2">
      <c r="A12" s="5" t="s">
        <v>35</v>
      </c>
      <c r="B12" s="3">
        <v>90</v>
      </c>
    </row>
    <row r="13" spans="1:2" x14ac:dyDescent="0.2">
      <c r="A13" s="5" t="s">
        <v>51</v>
      </c>
      <c r="B13" s="3">
        <v>6315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workbookViewId="0">
      <selection activeCell="H9" sqref="H9"/>
    </sheetView>
  </sheetViews>
  <sheetFormatPr defaultColWidth="12.5703125" defaultRowHeight="15.75" customHeight="1" x14ac:dyDescent="0.2"/>
  <cols>
    <col min="1" max="1" width="19.7109375" bestFit="1" customWidth="1"/>
    <col min="4" max="4" width="16.28515625" customWidth="1"/>
  </cols>
  <sheetData>
    <row r="1" spans="1:5" x14ac:dyDescent="0.2">
      <c r="A1" s="6" t="s">
        <v>0</v>
      </c>
      <c r="B1" s="6" t="s">
        <v>1</v>
      </c>
      <c r="C1" s="6" t="s">
        <v>2</v>
      </c>
      <c r="D1" s="6" t="s">
        <v>3</v>
      </c>
      <c r="E1" s="7" t="s">
        <v>48</v>
      </c>
    </row>
    <row r="2" spans="1:5" x14ac:dyDescent="0.2">
      <c r="A2" s="1" t="s">
        <v>4</v>
      </c>
      <c r="B2" s="1" t="s">
        <v>5</v>
      </c>
      <c r="C2" s="1" t="s">
        <v>6</v>
      </c>
      <c r="D2" s="1">
        <v>2023</v>
      </c>
      <c r="E2" s="2">
        <v>1200</v>
      </c>
    </row>
    <row r="3" spans="1:5" x14ac:dyDescent="0.2">
      <c r="A3" s="1" t="s">
        <v>7</v>
      </c>
      <c r="B3" s="1" t="s">
        <v>5</v>
      </c>
      <c r="C3" s="1" t="s">
        <v>8</v>
      </c>
      <c r="D3" s="1">
        <v>2021</v>
      </c>
      <c r="E3" s="2">
        <v>1500</v>
      </c>
    </row>
    <row r="4" spans="1:5" x14ac:dyDescent="0.2">
      <c r="A4" s="1" t="s">
        <v>9</v>
      </c>
      <c r="B4" s="1" t="s">
        <v>10</v>
      </c>
      <c r="C4" s="1" t="s">
        <v>11</v>
      </c>
      <c r="D4" s="1">
        <v>2022</v>
      </c>
      <c r="E4" s="2">
        <v>300</v>
      </c>
    </row>
    <row r="5" spans="1:5" x14ac:dyDescent="0.2">
      <c r="A5" s="1" t="s">
        <v>12</v>
      </c>
      <c r="B5" s="1" t="s">
        <v>10</v>
      </c>
      <c r="C5" s="1" t="s">
        <v>6</v>
      </c>
      <c r="D5" s="1">
        <v>2023</v>
      </c>
      <c r="E5" s="2">
        <v>250</v>
      </c>
    </row>
    <row r="6" spans="1:5" x14ac:dyDescent="0.2">
      <c r="A6" s="1" t="s">
        <v>13</v>
      </c>
      <c r="B6" s="1" t="s">
        <v>14</v>
      </c>
      <c r="C6" s="1" t="s">
        <v>15</v>
      </c>
      <c r="D6" s="1">
        <v>2023</v>
      </c>
      <c r="E6" s="2">
        <v>50</v>
      </c>
    </row>
    <row r="7" spans="1:5" x14ac:dyDescent="0.2">
      <c r="A7" s="1" t="s">
        <v>16</v>
      </c>
      <c r="B7" s="1" t="s">
        <v>14</v>
      </c>
      <c r="C7" s="1" t="s">
        <v>17</v>
      </c>
      <c r="D7" s="1">
        <v>2022</v>
      </c>
      <c r="E7" s="2">
        <v>120</v>
      </c>
    </row>
    <row r="8" spans="1:5" x14ac:dyDescent="0.2">
      <c r="A8" s="1" t="s">
        <v>18</v>
      </c>
      <c r="B8" s="1" t="s">
        <v>10</v>
      </c>
      <c r="C8" s="1" t="s">
        <v>15</v>
      </c>
      <c r="D8" s="1">
        <v>2021</v>
      </c>
      <c r="E8" s="2">
        <v>80</v>
      </c>
    </row>
    <row r="9" spans="1:5" x14ac:dyDescent="0.2">
      <c r="A9" s="1" t="s">
        <v>19</v>
      </c>
      <c r="B9" s="1" t="s">
        <v>20</v>
      </c>
      <c r="C9" s="1" t="s">
        <v>21</v>
      </c>
      <c r="D9" s="1">
        <v>2023</v>
      </c>
      <c r="E9" s="2">
        <v>250</v>
      </c>
    </row>
    <row r="10" spans="1:5" x14ac:dyDescent="0.2">
      <c r="A10" s="1" t="s">
        <v>22</v>
      </c>
      <c r="B10" s="1" t="s">
        <v>20</v>
      </c>
      <c r="C10" s="1" t="s">
        <v>23</v>
      </c>
      <c r="D10" s="1">
        <v>2020</v>
      </c>
      <c r="E10" s="2">
        <v>100</v>
      </c>
    </row>
    <row r="11" spans="1:5" x14ac:dyDescent="0.2">
      <c r="A11" s="1" t="s">
        <v>24</v>
      </c>
      <c r="B11" s="1" t="s">
        <v>25</v>
      </c>
      <c r="C11" s="1" t="s">
        <v>26</v>
      </c>
      <c r="D11" s="1">
        <v>2019</v>
      </c>
      <c r="E11" s="2">
        <v>800</v>
      </c>
    </row>
    <row r="12" spans="1:5" x14ac:dyDescent="0.2">
      <c r="A12" s="1" t="s">
        <v>27</v>
      </c>
      <c r="B12" s="1" t="s">
        <v>25</v>
      </c>
      <c r="C12" s="1" t="s">
        <v>28</v>
      </c>
      <c r="D12" s="1">
        <v>2022</v>
      </c>
      <c r="E12" s="2">
        <v>400</v>
      </c>
    </row>
    <row r="13" spans="1:5" x14ac:dyDescent="0.2">
      <c r="A13" s="1" t="s">
        <v>29</v>
      </c>
      <c r="B13" s="1" t="s">
        <v>30</v>
      </c>
      <c r="C13" s="1" t="s">
        <v>31</v>
      </c>
      <c r="D13" s="1">
        <v>2023</v>
      </c>
      <c r="E13" s="2">
        <v>200</v>
      </c>
    </row>
    <row r="14" spans="1:5" x14ac:dyDescent="0.2">
      <c r="A14" s="1" t="s">
        <v>32</v>
      </c>
      <c r="B14" s="1" t="s">
        <v>30</v>
      </c>
      <c r="C14" s="1" t="s">
        <v>33</v>
      </c>
      <c r="D14" s="1">
        <v>2021</v>
      </c>
      <c r="E14" s="2">
        <v>40</v>
      </c>
    </row>
    <row r="15" spans="1:5" x14ac:dyDescent="0.2">
      <c r="A15" s="1" t="s">
        <v>34</v>
      </c>
      <c r="B15" s="1" t="s">
        <v>35</v>
      </c>
      <c r="C15" s="1" t="s">
        <v>36</v>
      </c>
      <c r="D15" s="1">
        <v>2022</v>
      </c>
      <c r="E15" s="2">
        <v>90</v>
      </c>
    </row>
    <row r="16" spans="1:5" x14ac:dyDescent="0.2">
      <c r="A16" s="1" t="s">
        <v>37</v>
      </c>
      <c r="B16" s="1" t="s">
        <v>14</v>
      </c>
      <c r="C16" s="1" t="s">
        <v>38</v>
      </c>
      <c r="D16" s="1">
        <v>2023</v>
      </c>
      <c r="E16" s="2">
        <v>60</v>
      </c>
    </row>
    <row r="17" spans="1:5" x14ac:dyDescent="0.2">
      <c r="A17" s="1" t="s">
        <v>39</v>
      </c>
      <c r="B17" s="1" t="s">
        <v>25</v>
      </c>
      <c r="C17" s="1" t="s">
        <v>40</v>
      </c>
      <c r="D17" s="1">
        <v>2020</v>
      </c>
      <c r="E17" s="2">
        <v>45</v>
      </c>
    </row>
    <row r="18" spans="1:5" x14ac:dyDescent="0.2">
      <c r="A18" s="1" t="s">
        <v>41</v>
      </c>
      <c r="B18" s="1" t="s">
        <v>5</v>
      </c>
      <c r="C18" s="1" t="s">
        <v>8</v>
      </c>
      <c r="D18" s="1">
        <v>2021</v>
      </c>
      <c r="E18" s="2">
        <v>600</v>
      </c>
    </row>
    <row r="19" spans="1:5" x14ac:dyDescent="0.2">
      <c r="A19" s="1" t="s">
        <v>42</v>
      </c>
      <c r="B19" s="1" t="s">
        <v>20</v>
      </c>
      <c r="C19" s="1" t="s">
        <v>43</v>
      </c>
      <c r="D19" s="1">
        <v>2022</v>
      </c>
      <c r="E19" s="2">
        <v>50</v>
      </c>
    </row>
    <row r="20" spans="1:5" x14ac:dyDescent="0.2">
      <c r="A20" s="1" t="s">
        <v>44</v>
      </c>
      <c r="B20" s="1" t="s">
        <v>10</v>
      </c>
      <c r="C20" s="1" t="s">
        <v>45</v>
      </c>
      <c r="D20" s="1">
        <v>2019</v>
      </c>
      <c r="E20" s="2">
        <v>150</v>
      </c>
    </row>
    <row r="21" spans="1:5" x14ac:dyDescent="0.2">
      <c r="A21" s="1" t="s">
        <v>46</v>
      </c>
      <c r="B21" s="1" t="s">
        <v>14</v>
      </c>
      <c r="C21" s="1" t="s">
        <v>47</v>
      </c>
      <c r="D21" s="1">
        <v>2023</v>
      </c>
      <c r="E21" s="2">
        <v>30</v>
      </c>
    </row>
    <row r="22" spans="1:5" ht="15.75" customHeight="1" x14ac:dyDescent="0.2">
      <c r="A22" s="8" t="s">
        <v>53</v>
      </c>
      <c r="B22" s="8"/>
      <c r="C22" s="8"/>
      <c r="D22" s="8"/>
      <c r="E22" s="9">
        <f>SUBTOTAL(109,Mod_6.3_DataSet[Cost])</f>
        <v>6315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Office Equipme Pivot Table</vt:lpstr>
      <vt:lpstr>Home Office Equipment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Naeco11</dc:creator>
  <cp:lastModifiedBy>Promise Beshel</cp:lastModifiedBy>
  <dcterms:created xsi:type="dcterms:W3CDTF">2025-12-04T18:45:55Z</dcterms:created>
  <dcterms:modified xsi:type="dcterms:W3CDTF">2025-12-04T19:11:04Z</dcterms:modified>
</cp:coreProperties>
</file>