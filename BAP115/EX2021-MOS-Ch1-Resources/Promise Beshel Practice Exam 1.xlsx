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YU ENSIGN\BAP115.001\EX2021-MOS-Ch1-Resources\"/>
    </mc:Choice>
  </mc:AlternateContent>
  <xr:revisionPtr revIDLastSave="0" documentId="13_ncr:1_{99D735A2-BF84-463A-AEF8-0137D6BB0DEF}" xr6:coauthVersionLast="47" xr6:coauthVersionMax="47" xr10:uidLastSave="{00000000-0000-0000-0000-000000000000}"/>
  <bookViews>
    <workbookView xWindow="-120" yWindow="-120" windowWidth="20730" windowHeight="11760" firstSheet="2" activeTab="8" xr2:uid="{00000000-000D-0000-FFFF-FFFF00000000}"/>
  </bookViews>
  <sheets>
    <sheet name="Instructions" sheetId="8" r:id="rId1"/>
    <sheet name="Project 1" sheetId="5" r:id="rId2"/>
    <sheet name="Project 2" sheetId="2" r:id="rId3"/>
    <sheet name="Project 3" sheetId="3" r:id="rId4"/>
    <sheet name="Project 4" sheetId="4" r:id="rId5"/>
    <sheet name="Project 5" sheetId="1" r:id="rId6"/>
    <sheet name="Column Chart" sheetId="13" r:id="rId7"/>
    <sheet name="Project 6" sheetId="7" r:id="rId8"/>
    <sheet name="Project 7" sheetId="11" r:id="rId9"/>
  </sheets>
  <externalReferences>
    <externalReference r:id="rId10"/>
  </externalReferences>
  <definedNames>
    <definedName name="Administrative">'[1]Cass Lake'!$K$13</definedName>
    <definedName name="ExternalData_1" localSheetId="7" hidden="1">'Project 6'!$A$1:$J$742</definedName>
    <definedName name="Marketing">'[1]Cass Lake'!$K$14</definedName>
    <definedName name="Operations">'[1]Cass Lake'!$K$15</definedName>
    <definedName name="_xlnm.Print_Titles" localSheetId="7">'Project 6'!$1:$1</definedName>
    <definedName name="Salaries_Wages">'[1]Cass Lake'!$K$12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4" l="1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5" i="2"/>
  <c r="F18" i="5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7" i="11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E30" i="4"/>
  <c r="E29" i="4"/>
  <c r="E28" i="4"/>
  <c r="E27" i="4"/>
  <c r="D29" i="4"/>
  <c r="D30" i="4"/>
  <c r="D28" i="4"/>
  <c r="D27" i="4"/>
  <c r="F5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5" i="3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E18" i="5"/>
  <c r="D18" i="5"/>
  <c r="C18" i="5"/>
  <c r="B18" i="5"/>
  <c r="B10" i="1"/>
  <c r="C10" i="1"/>
  <c r="D10" i="1"/>
  <c r="E10" i="1"/>
  <c r="F10" i="1"/>
  <c r="G10" i="1"/>
  <c r="H5" i="1"/>
  <c r="H6" i="1"/>
  <c r="H7" i="1"/>
  <c r="H8" i="1"/>
  <c r="H9" i="1"/>
  <c r="H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FDB09-989D-4856-B564-479CA5BDF67A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</connections>
</file>

<file path=xl/sharedStrings.xml><?xml version="1.0" encoding="utf-8"?>
<sst xmlns="http://schemas.openxmlformats.org/spreadsheetml/2006/main" count="3959" uniqueCount="1288">
  <si>
    <t>Total</t>
  </si>
  <si>
    <t xml:space="preserve">Classic Gardens and Landscapes (CGL) </t>
  </si>
  <si>
    <t>Lawn Maintenance</t>
  </si>
  <si>
    <t>July</t>
  </si>
  <si>
    <t>August</t>
  </si>
  <si>
    <t>September</t>
  </si>
  <si>
    <t>Patio and Furniture</t>
  </si>
  <si>
    <t>Fountains and Irrigation</t>
  </si>
  <si>
    <t>Total Revenue</t>
  </si>
  <si>
    <t>Revenue Categories</t>
  </si>
  <si>
    <t>Landscape Design</t>
  </si>
  <si>
    <t>Trees &amp; Plants</t>
  </si>
  <si>
    <t>Revenue for Quarters 3 and 4</t>
  </si>
  <si>
    <t>October</t>
  </si>
  <si>
    <t>November</t>
  </si>
  <si>
    <t>December</t>
  </si>
  <si>
    <t>28'4"</t>
  </si>
  <si>
    <t>Catalina 270</t>
  </si>
  <si>
    <t>35'6"</t>
  </si>
  <si>
    <t>Hunter 36</t>
  </si>
  <si>
    <t>39'10"</t>
  </si>
  <si>
    <t>Beneteau 40</t>
  </si>
  <si>
    <t>36'11"</t>
  </si>
  <si>
    <t>Beneteau 373</t>
  </si>
  <si>
    <t>33'6"</t>
  </si>
  <si>
    <t>Hunter 33</t>
  </si>
  <si>
    <t>24'8"</t>
  </si>
  <si>
    <t>Capri 22 Mk II</t>
  </si>
  <si>
    <t>Full Day 
Rate</t>
  </si>
  <si>
    <t>Half-Day
Rate</t>
  </si>
  <si>
    <t>Sleeps</t>
  </si>
  <si>
    <t>Seats</t>
  </si>
  <si>
    <t>Model 
Year</t>
  </si>
  <si>
    <t>Length</t>
  </si>
  <si>
    <t>Boat Type</t>
  </si>
  <si>
    <t>Boat ID</t>
  </si>
  <si>
    <t>Rental and Charter Fleet</t>
  </si>
  <si>
    <t>San Diego Sailing</t>
  </si>
  <si>
    <t>New Prices at 5% and 10% Increases</t>
  </si>
  <si>
    <t>Half-Day</t>
  </si>
  <si>
    <t>Full Day</t>
  </si>
  <si>
    <t>San Diego Sailing Bookings</t>
  </si>
  <si>
    <t>Revenue per Passenger</t>
  </si>
  <si>
    <t>Date</t>
  </si>
  <si>
    <t># of 
Passengers</t>
  </si>
  <si>
    <t>Total
Fees</t>
  </si>
  <si>
    <t>Bookings by Type</t>
  </si>
  <si>
    <t>Count</t>
  </si>
  <si>
    <t>Beneteau</t>
  </si>
  <si>
    <t>Hunter</t>
  </si>
  <si>
    <t>Blue Lake Sports</t>
  </si>
  <si>
    <t>First Quarter Sales by City</t>
  </si>
  <si>
    <t>Department</t>
  </si>
  <si>
    <t>Week 1</t>
  </si>
  <si>
    <t xml:space="preserve">Apparel </t>
  </si>
  <si>
    <t xml:space="preserve">Baseball  </t>
  </si>
  <si>
    <t xml:space="preserve">Basketball </t>
  </si>
  <si>
    <t xml:space="preserve">Bike &amp; Skate </t>
  </si>
  <si>
    <t xml:space="preserve">Fishing </t>
  </si>
  <si>
    <t>Fitness</t>
  </si>
  <si>
    <t xml:space="preserve">Footwear </t>
  </si>
  <si>
    <t xml:space="preserve">Game Room </t>
  </si>
  <si>
    <t xml:space="preserve">Golf </t>
  </si>
  <si>
    <t xml:space="preserve">Hockey </t>
  </si>
  <si>
    <t xml:space="preserve">Hunting </t>
  </si>
  <si>
    <t>Lacrosse</t>
  </si>
  <si>
    <t xml:space="preserve">Running </t>
  </si>
  <si>
    <t xml:space="preserve">Winter Sports </t>
  </si>
  <si>
    <t>Fees per
Passenger</t>
  </si>
  <si>
    <t>Total 
Fees</t>
  </si>
  <si>
    <t>Galley 
with Stove</t>
  </si>
  <si>
    <t>Excel Practice Exam 1</t>
  </si>
  <si>
    <t>The Roux Academy of Art</t>
  </si>
  <si>
    <t>2017 Faculty Members</t>
  </si>
  <si>
    <t>Position</t>
  </si>
  <si>
    <t>Staff Member</t>
  </si>
  <si>
    <t>Left</t>
  </si>
  <si>
    <t>Right</t>
  </si>
  <si>
    <t>Password</t>
  </si>
  <si>
    <t>Admin Assistant</t>
  </si>
  <si>
    <t>Nell Gomez</t>
  </si>
  <si>
    <t>Admin</t>
  </si>
  <si>
    <t>Asst. Headmaster</t>
  </si>
  <si>
    <t>Roland Hale</t>
  </si>
  <si>
    <t>Counselor</t>
  </si>
  <si>
    <t>Bob Steele</t>
  </si>
  <si>
    <t>Lauryn Drake</t>
  </si>
  <si>
    <t>Trinidad Faulkner</t>
  </si>
  <si>
    <t>Sixta Jarvis</t>
  </si>
  <si>
    <t>Shayna Cantrell</t>
  </si>
  <si>
    <t>Headmaster</t>
  </si>
  <si>
    <t>Deneen Richards</t>
  </si>
  <si>
    <t>Janitorial</t>
  </si>
  <si>
    <t>Rubye Donaldson</t>
  </si>
  <si>
    <t>Fannie Buckner</t>
  </si>
  <si>
    <t>Nurse</t>
  </si>
  <si>
    <t>Luann Hull</t>
  </si>
  <si>
    <t>Secretary</t>
  </si>
  <si>
    <t>Dorie Salinas</t>
  </si>
  <si>
    <t>Gay Washington</t>
  </si>
  <si>
    <t>Roxie Duncan</t>
  </si>
  <si>
    <t>Verda Glenn</t>
  </si>
  <si>
    <t>Athletic Director</t>
  </si>
  <si>
    <t>Abraham Hester</t>
  </si>
  <si>
    <t>Athletics</t>
  </si>
  <si>
    <t>Coach</t>
  </si>
  <si>
    <t>Kary Kaufman</t>
  </si>
  <si>
    <t>Maddie Potter</t>
  </si>
  <si>
    <t>Kathaleen Marquez</t>
  </si>
  <si>
    <t>Samira Frederick</t>
  </si>
  <si>
    <t>Trustee</t>
  </si>
  <si>
    <t>Illa Sweeney</t>
  </si>
  <si>
    <t>Board</t>
  </si>
  <si>
    <t>Gil Koch</t>
  </si>
  <si>
    <t>Jessie Williamson</t>
  </si>
  <si>
    <t>Charisse Franks</t>
  </si>
  <si>
    <t>Animation</t>
  </si>
  <si>
    <t>Marilee Richard</t>
  </si>
  <si>
    <t>Teacher</t>
  </si>
  <si>
    <t>Fashion and Textiles</t>
  </si>
  <si>
    <t>Olevia Pennington</t>
  </si>
  <si>
    <t>Fine Art and Visual Culture</t>
  </si>
  <si>
    <t>Claudia Walls</t>
  </si>
  <si>
    <t>Graphic Design</t>
  </si>
  <si>
    <t>Justin Espinoza</t>
  </si>
  <si>
    <t>Photography</t>
  </si>
  <si>
    <t>Bee Anthony</t>
  </si>
  <si>
    <t>Last Name</t>
  </si>
  <si>
    <t>First Name</t>
  </si>
  <si>
    <t>Building</t>
  </si>
  <si>
    <t>Hire Date</t>
  </si>
  <si>
    <t>Years</t>
  </si>
  <si>
    <t>Benefits</t>
  </si>
  <si>
    <t xml:space="preserve"> Salary </t>
  </si>
  <si>
    <t>Job Rating</t>
  </si>
  <si>
    <t>Page</t>
  </si>
  <si>
    <t xml:space="preserve"> Lisa</t>
  </si>
  <si>
    <t>West</t>
  </si>
  <si>
    <t>ADC</t>
  </si>
  <si>
    <t xml:space="preserve"> DMR </t>
  </si>
  <si>
    <t>Taylor</t>
  </si>
  <si>
    <t xml:space="preserve"> Hector</t>
  </si>
  <si>
    <t xml:space="preserve"> DM </t>
  </si>
  <si>
    <t>Dawson</t>
  </si>
  <si>
    <t xml:space="preserve"> Jonathan</t>
  </si>
  <si>
    <t/>
  </si>
  <si>
    <t>Duran</t>
  </si>
  <si>
    <t xml:space="preserve"> Brian</t>
  </si>
  <si>
    <t>Taft</t>
  </si>
  <si>
    <t>Weber</t>
  </si>
  <si>
    <t xml:space="preserve"> Larry</t>
  </si>
  <si>
    <t>Watson</t>
  </si>
  <si>
    <t xml:space="preserve"> M </t>
  </si>
  <si>
    <t>Pratt</t>
  </si>
  <si>
    <t xml:space="preserve"> Erik</t>
  </si>
  <si>
    <t>North</t>
  </si>
  <si>
    <t>Training</t>
  </si>
  <si>
    <t>O'Connor</t>
  </si>
  <si>
    <t xml:space="preserve"> Kent</t>
  </si>
  <si>
    <t>Spencer</t>
  </si>
  <si>
    <t xml:space="preserve"> Boyd</t>
  </si>
  <si>
    <t>Main</t>
  </si>
  <si>
    <t>Wiggins</t>
  </si>
  <si>
    <t xml:space="preserve"> Frank</t>
  </si>
  <si>
    <t>Tanner</t>
  </si>
  <si>
    <t xml:space="preserve"> Timothy</t>
  </si>
  <si>
    <t>Strickland</t>
  </si>
  <si>
    <t xml:space="preserve"> Rajean</t>
  </si>
  <si>
    <t xml:space="preserve"> D </t>
  </si>
  <si>
    <t>Chase</t>
  </si>
  <si>
    <t xml:space="preserve"> Troy</t>
  </si>
  <si>
    <t>Brewer</t>
  </si>
  <si>
    <t>Wilkins</t>
  </si>
  <si>
    <t xml:space="preserve"> Jesse</t>
  </si>
  <si>
    <t>White</t>
  </si>
  <si>
    <t xml:space="preserve"> Daniel</t>
  </si>
  <si>
    <t>Holland</t>
  </si>
  <si>
    <t xml:space="preserve"> Donald</t>
  </si>
  <si>
    <t>South</t>
  </si>
  <si>
    <t>Rowe</t>
  </si>
  <si>
    <t xml:space="preserve"> Ken</t>
  </si>
  <si>
    <t>Burton</t>
  </si>
  <si>
    <t xml:space="preserve"> Cam</t>
  </si>
  <si>
    <t>Phillips</t>
  </si>
  <si>
    <t xml:space="preserve"> Liesl</t>
  </si>
  <si>
    <t xml:space="preserve"> R </t>
  </si>
  <si>
    <t>Gallagher</t>
  </si>
  <si>
    <t xml:space="preserve"> Johnson</t>
  </si>
  <si>
    <t>Wolf</t>
  </si>
  <si>
    <t xml:space="preserve"> Debbie</t>
  </si>
  <si>
    <t>Todd</t>
  </si>
  <si>
    <t xml:space="preserve"> Steven</t>
  </si>
  <si>
    <t>McKenzie</t>
  </si>
  <si>
    <t xml:space="preserve"> Michelle</t>
  </si>
  <si>
    <t>Environmental Compliance</t>
  </si>
  <si>
    <t>Thornton</t>
  </si>
  <si>
    <t xml:space="preserve"> Charles</t>
  </si>
  <si>
    <t>Dunn</t>
  </si>
  <si>
    <t xml:space="preserve"> Matthew</t>
  </si>
  <si>
    <t>Potter</t>
  </si>
  <si>
    <t xml:space="preserve"> Dawn</t>
  </si>
  <si>
    <t>Carroll</t>
  </si>
  <si>
    <t xml:space="preserve"> Lesa</t>
  </si>
  <si>
    <t>Fleming</t>
  </si>
  <si>
    <t xml:space="preserve"> Irv</t>
  </si>
  <si>
    <t>Nguyen</t>
  </si>
  <si>
    <t xml:space="preserve"> Dennis</t>
  </si>
  <si>
    <t>Blair</t>
  </si>
  <si>
    <t xml:space="preserve"> Sperry</t>
  </si>
  <si>
    <t>Wyatt</t>
  </si>
  <si>
    <t xml:space="preserve"> Kelly</t>
  </si>
  <si>
    <t>Walton</t>
  </si>
  <si>
    <t xml:space="preserve"> Benjamin</t>
  </si>
  <si>
    <t>Beck</t>
  </si>
  <si>
    <t xml:space="preserve"> Craig</t>
  </si>
  <si>
    <t>Phelps</t>
  </si>
  <si>
    <t xml:space="preserve"> Gretchen</t>
  </si>
  <si>
    <t>Bond</t>
  </si>
  <si>
    <t xml:space="preserve"> John</t>
  </si>
  <si>
    <t>Chang</t>
  </si>
  <si>
    <t xml:space="preserve"> Gabriel</t>
  </si>
  <si>
    <t>Bullock</t>
  </si>
  <si>
    <t xml:space="preserve"> Greg</t>
  </si>
  <si>
    <t>Facilities/Engineering</t>
  </si>
  <si>
    <t>Wheeler</t>
  </si>
  <si>
    <t xml:space="preserve"> Meegan</t>
  </si>
  <si>
    <t>Cunningham</t>
  </si>
  <si>
    <t xml:space="preserve"> Denise</t>
  </si>
  <si>
    <t>Simpson</t>
  </si>
  <si>
    <t xml:space="preserve"> Jimmy</t>
  </si>
  <si>
    <t>Griffith</t>
  </si>
  <si>
    <t>Powers</t>
  </si>
  <si>
    <t xml:space="preserve"> Tia</t>
  </si>
  <si>
    <t>Navarro</t>
  </si>
  <si>
    <t xml:space="preserve"> Marc</t>
  </si>
  <si>
    <t>Briggs</t>
  </si>
  <si>
    <t xml:space="preserve"> Bryan</t>
  </si>
  <si>
    <t>Warren</t>
  </si>
  <si>
    <t xml:space="preserve"> Jean</t>
  </si>
  <si>
    <t>McDonald</t>
  </si>
  <si>
    <t xml:space="preserve"> Debra</t>
  </si>
  <si>
    <t>Pitts</t>
  </si>
  <si>
    <t xml:space="preserve"> Dana</t>
  </si>
  <si>
    <t>Pruitt</t>
  </si>
  <si>
    <t xml:space="preserve"> Randy</t>
  </si>
  <si>
    <t>Nicholson</t>
  </si>
  <si>
    <t xml:space="preserve"> Lee</t>
  </si>
  <si>
    <t>Matthews</t>
  </si>
  <si>
    <t xml:space="preserve"> Diane</t>
  </si>
  <si>
    <t>Norris</t>
  </si>
  <si>
    <t xml:space="preserve"> Tamara</t>
  </si>
  <si>
    <t>Weiss</t>
  </si>
  <si>
    <t xml:space="preserve"> Marisa</t>
  </si>
  <si>
    <t>Lawrence</t>
  </si>
  <si>
    <t xml:space="preserve"> Ronald</t>
  </si>
  <si>
    <t>Sherman</t>
  </si>
  <si>
    <t xml:space="preserve"> Karin</t>
  </si>
  <si>
    <t>Harmon</t>
  </si>
  <si>
    <t xml:space="preserve"> Paul</t>
  </si>
  <si>
    <t>Vance</t>
  </si>
  <si>
    <t xml:space="preserve"> Cheryl</t>
  </si>
  <si>
    <t>Swanson</t>
  </si>
  <si>
    <t xml:space="preserve"> Vicki</t>
  </si>
  <si>
    <t>Steele</t>
  </si>
  <si>
    <t xml:space="preserve"> Gerald</t>
  </si>
  <si>
    <t>Richardson</t>
  </si>
  <si>
    <t>Whitehead</t>
  </si>
  <si>
    <t xml:space="preserve"> Carolyn</t>
  </si>
  <si>
    <t>Flowers</t>
  </si>
  <si>
    <t xml:space="preserve"> Kathleen</t>
  </si>
  <si>
    <t>Huff</t>
  </si>
  <si>
    <t>Deleon</t>
  </si>
  <si>
    <t xml:space="preserve"> Jaquelyn</t>
  </si>
  <si>
    <t>Kent</t>
  </si>
  <si>
    <t xml:space="preserve"> Angus</t>
  </si>
  <si>
    <t>Wallace</t>
  </si>
  <si>
    <t>Nichols</t>
  </si>
  <si>
    <t xml:space="preserve"> Nathaniel</t>
  </si>
  <si>
    <t>Morgan</t>
  </si>
  <si>
    <t xml:space="preserve"> Patricia</t>
  </si>
  <si>
    <t>Harding</t>
  </si>
  <si>
    <t xml:space="preserve"> Erin</t>
  </si>
  <si>
    <t>Hood</t>
  </si>
  <si>
    <t xml:space="preserve"> Renee</t>
  </si>
  <si>
    <t>Hickman</t>
  </si>
  <si>
    <t>Schneider</t>
  </si>
  <si>
    <t xml:space="preserve"> Gay</t>
  </si>
  <si>
    <t>Stone</t>
  </si>
  <si>
    <t>Goodman</t>
  </si>
  <si>
    <t xml:space="preserve"> Kuyler</t>
  </si>
  <si>
    <t>Simmons</t>
  </si>
  <si>
    <t xml:space="preserve"> Robert</t>
  </si>
  <si>
    <t>Wolfe</t>
  </si>
  <si>
    <t xml:space="preserve"> Keith</t>
  </si>
  <si>
    <t>Conway</t>
  </si>
  <si>
    <t xml:space="preserve"> Brett</t>
  </si>
  <si>
    <t>Mendoza</t>
  </si>
  <si>
    <t xml:space="preserve"> Bobby</t>
  </si>
  <si>
    <t>James</t>
  </si>
  <si>
    <t xml:space="preserve"> Lynn</t>
  </si>
  <si>
    <t>Porter</t>
  </si>
  <si>
    <t xml:space="preserve"> Rachel</t>
  </si>
  <si>
    <t>Mullins</t>
  </si>
  <si>
    <t xml:space="preserve"> Angela</t>
  </si>
  <si>
    <t>Poole</t>
  </si>
  <si>
    <t xml:space="preserve"> Tracy</t>
  </si>
  <si>
    <t>Farrell</t>
  </si>
  <si>
    <t xml:space="preserve"> Laura</t>
  </si>
  <si>
    <t>Perry</t>
  </si>
  <si>
    <t xml:space="preserve"> Christopher</t>
  </si>
  <si>
    <t>Fletcher</t>
  </si>
  <si>
    <t>York</t>
  </si>
  <si>
    <t>Hudson</t>
  </si>
  <si>
    <t xml:space="preserve"> Lorna</t>
  </si>
  <si>
    <t>May</t>
  </si>
  <si>
    <t xml:space="preserve"> Steve</t>
  </si>
  <si>
    <t>Booker</t>
  </si>
  <si>
    <t xml:space="preserve"> Judith</t>
  </si>
  <si>
    <t>Dorsey</t>
  </si>
  <si>
    <t>Gardner</t>
  </si>
  <si>
    <t xml:space="preserve"> Anthony</t>
  </si>
  <si>
    <t>Hammond</t>
  </si>
  <si>
    <t>Clayton</t>
  </si>
  <si>
    <t xml:space="preserve"> Gregory</t>
  </si>
  <si>
    <t>Martinez</t>
  </si>
  <si>
    <t>Becker</t>
  </si>
  <si>
    <t>Thompson</t>
  </si>
  <si>
    <t>Cortez</t>
  </si>
  <si>
    <t xml:space="preserve"> Jack</t>
  </si>
  <si>
    <t>Green Building</t>
  </si>
  <si>
    <t>Hardin</t>
  </si>
  <si>
    <t>Pacheco</t>
  </si>
  <si>
    <t xml:space="preserve"> Therese</t>
  </si>
  <si>
    <t>Stokes</t>
  </si>
  <si>
    <t>Kerr</t>
  </si>
  <si>
    <t xml:space="preserve"> Mihaela</t>
  </si>
  <si>
    <t>Juarez</t>
  </si>
  <si>
    <t xml:space="preserve"> Neill</t>
  </si>
  <si>
    <t>Wade</t>
  </si>
  <si>
    <t xml:space="preserve"> Kevin</t>
  </si>
  <si>
    <t>Cohen</t>
  </si>
  <si>
    <t xml:space="preserve"> Bruce</t>
  </si>
  <si>
    <t>Norton</t>
  </si>
  <si>
    <t>Environmental Health/Safety</t>
  </si>
  <si>
    <t>Gomez</t>
  </si>
  <si>
    <t xml:space="preserve"> Ed</t>
  </si>
  <si>
    <t>Carey</t>
  </si>
  <si>
    <t xml:space="preserve"> Andrea</t>
  </si>
  <si>
    <t>Kim</t>
  </si>
  <si>
    <t xml:space="preserve"> Deborah</t>
  </si>
  <si>
    <t>Foley</t>
  </si>
  <si>
    <t xml:space="preserve"> Peter</t>
  </si>
  <si>
    <t>Landry</t>
  </si>
  <si>
    <t xml:space="preserve"> Linda</t>
  </si>
  <si>
    <t>Hill</t>
  </si>
  <si>
    <t xml:space="preserve"> Robin</t>
  </si>
  <si>
    <t>Malone</t>
  </si>
  <si>
    <t>Hawkins</t>
  </si>
  <si>
    <t xml:space="preserve"> Douglas</t>
  </si>
  <si>
    <t>Baker</t>
  </si>
  <si>
    <t xml:space="preserve"> Barney</t>
  </si>
  <si>
    <t>Creative</t>
  </si>
  <si>
    <t>Allison</t>
  </si>
  <si>
    <t>McCoy</t>
  </si>
  <si>
    <t xml:space="preserve"> Preston</t>
  </si>
  <si>
    <t>Maxwell</t>
  </si>
  <si>
    <t xml:space="preserve"> Jill</t>
  </si>
  <si>
    <t>Garner</t>
  </si>
  <si>
    <t xml:space="preserve"> Terry</t>
  </si>
  <si>
    <t>Durham</t>
  </si>
  <si>
    <t>Ray</t>
  </si>
  <si>
    <t xml:space="preserve"> ReAnnon</t>
  </si>
  <si>
    <t>Winters</t>
  </si>
  <si>
    <t xml:space="preserve"> Shaun</t>
  </si>
  <si>
    <t>Roberson</t>
  </si>
  <si>
    <t xml:space="preserve"> Eileen</t>
  </si>
  <si>
    <t>Perkins</t>
  </si>
  <si>
    <t>Copeland</t>
  </si>
  <si>
    <t xml:space="preserve"> Roger</t>
  </si>
  <si>
    <t>Silva</t>
  </si>
  <si>
    <t xml:space="preserve"> Stephen</t>
  </si>
  <si>
    <t>Lloyd</t>
  </si>
  <si>
    <t>Park</t>
  </si>
  <si>
    <t>Molina</t>
  </si>
  <si>
    <t xml:space="preserve"> Michael</t>
  </si>
  <si>
    <t>McDowell</t>
  </si>
  <si>
    <t xml:space="preserve"> Scott</t>
  </si>
  <si>
    <t>Nixon</t>
  </si>
  <si>
    <t>Figueroa</t>
  </si>
  <si>
    <t xml:space="preserve"> Leonard</t>
  </si>
  <si>
    <t>Hutchinson</t>
  </si>
  <si>
    <t>Nelson</t>
  </si>
  <si>
    <t xml:space="preserve"> Shira</t>
  </si>
  <si>
    <t>Human Resources</t>
  </si>
  <si>
    <t>Daniel</t>
  </si>
  <si>
    <t>Barnett</t>
  </si>
  <si>
    <t xml:space="preserve"> Brenda</t>
  </si>
  <si>
    <t>Gregory</t>
  </si>
  <si>
    <t xml:space="preserve"> Jon</t>
  </si>
  <si>
    <t>Ramos</t>
  </si>
  <si>
    <t xml:space="preserve"> Jan</t>
  </si>
  <si>
    <t>Calhoun</t>
  </si>
  <si>
    <t xml:space="preserve"> Dac Vinh</t>
  </si>
  <si>
    <t>Product Development</t>
  </si>
  <si>
    <t>Adams</t>
  </si>
  <si>
    <t xml:space="preserve"> David</t>
  </si>
  <si>
    <t>Bass</t>
  </si>
  <si>
    <t xml:space="preserve"> Justin</t>
  </si>
  <si>
    <t>Robertson</t>
  </si>
  <si>
    <t xml:space="preserve"> Nathan</t>
  </si>
  <si>
    <t>Young</t>
  </si>
  <si>
    <t>Nunez</t>
  </si>
  <si>
    <t xml:space="preserve"> Benning</t>
  </si>
  <si>
    <t>Shields</t>
  </si>
  <si>
    <t>Hardy</t>
  </si>
  <si>
    <t xml:space="preserve"> Svetlana</t>
  </si>
  <si>
    <t>Woodward</t>
  </si>
  <si>
    <t xml:space="preserve"> Tim</t>
  </si>
  <si>
    <t>Shaffer</t>
  </si>
  <si>
    <t xml:space="preserve"> Nobuko</t>
  </si>
  <si>
    <t>Hale</t>
  </si>
  <si>
    <t xml:space="preserve"> Deon</t>
  </si>
  <si>
    <t>Gates</t>
  </si>
  <si>
    <t xml:space="preserve"> Anne</t>
  </si>
  <si>
    <t>Lara</t>
  </si>
  <si>
    <t xml:space="preserve"> Mark</t>
  </si>
  <si>
    <t>Vazquez</t>
  </si>
  <si>
    <t xml:space="preserve"> Kenneth</t>
  </si>
  <si>
    <t>Montgomery</t>
  </si>
  <si>
    <t xml:space="preserve"> Chris</t>
  </si>
  <si>
    <t>Lee</t>
  </si>
  <si>
    <t>Curtis</t>
  </si>
  <si>
    <t xml:space="preserve"> Patrick</t>
  </si>
  <si>
    <t>Gallegos</t>
  </si>
  <si>
    <t xml:space="preserve"> Rick</t>
  </si>
  <si>
    <t>Morse</t>
  </si>
  <si>
    <t>Gross</t>
  </si>
  <si>
    <t xml:space="preserve"> Davin</t>
  </si>
  <si>
    <t>Newton</t>
  </si>
  <si>
    <t xml:space="preserve"> Leigh</t>
  </si>
  <si>
    <t>Noble</t>
  </si>
  <si>
    <t>Jordan</t>
  </si>
  <si>
    <t>Rich</t>
  </si>
  <si>
    <t xml:space="preserve"> Brent</t>
  </si>
  <si>
    <t>Evans</t>
  </si>
  <si>
    <t xml:space="preserve"> Rolin</t>
  </si>
  <si>
    <t>Santos</t>
  </si>
  <si>
    <t xml:space="preserve"> Garret</t>
  </si>
  <si>
    <t>Wise</t>
  </si>
  <si>
    <t xml:space="preserve"> Ted</t>
  </si>
  <si>
    <t>Townsend</t>
  </si>
  <si>
    <t xml:space="preserve"> Jerry</t>
  </si>
  <si>
    <t>Estrada</t>
  </si>
  <si>
    <t xml:space="preserve"> Joan</t>
  </si>
  <si>
    <t>Oliver</t>
  </si>
  <si>
    <t xml:space="preserve"> Francisco</t>
  </si>
  <si>
    <t>Clarke</t>
  </si>
  <si>
    <t>Wagner</t>
  </si>
  <si>
    <t xml:space="preserve"> Lynne</t>
  </si>
  <si>
    <t>Mathis</t>
  </si>
  <si>
    <t xml:space="preserve"> Shari</t>
  </si>
  <si>
    <t>Chen</t>
  </si>
  <si>
    <t xml:space="preserve"> Jaime</t>
  </si>
  <si>
    <t>Reese</t>
  </si>
  <si>
    <t>Lowe</t>
  </si>
  <si>
    <t>Cummings</t>
  </si>
  <si>
    <t xml:space="preserve"> Jose</t>
  </si>
  <si>
    <t>Padilla</t>
  </si>
  <si>
    <t>Tran</t>
  </si>
  <si>
    <t xml:space="preserve"> Chad</t>
  </si>
  <si>
    <t>Major Mfg Projects</t>
  </si>
  <si>
    <t>Boone</t>
  </si>
  <si>
    <t xml:space="preserve"> Eric</t>
  </si>
  <si>
    <t>Romero</t>
  </si>
  <si>
    <t>Randolph</t>
  </si>
  <si>
    <t xml:space="preserve"> Kristin</t>
  </si>
  <si>
    <t>Miranda</t>
  </si>
  <si>
    <t xml:space="preserve"> Elena</t>
  </si>
  <si>
    <t>Gilmore</t>
  </si>
  <si>
    <t>Douglas</t>
  </si>
  <si>
    <t>Campos</t>
  </si>
  <si>
    <t xml:space="preserve"> Richard</t>
  </si>
  <si>
    <t>Rios</t>
  </si>
  <si>
    <t xml:space="preserve"> Fredrick</t>
  </si>
  <si>
    <t>Manufacturing</t>
  </si>
  <si>
    <t xml:space="preserve"> DR </t>
  </si>
  <si>
    <t>Castro</t>
  </si>
  <si>
    <t>Pierce</t>
  </si>
  <si>
    <t xml:space="preserve"> Karen</t>
  </si>
  <si>
    <t>Small</t>
  </si>
  <si>
    <t xml:space="preserve"> Athanasios</t>
  </si>
  <si>
    <t>Logan</t>
  </si>
  <si>
    <t>Tate</t>
  </si>
  <si>
    <t xml:space="preserve"> Zachary</t>
  </si>
  <si>
    <t>Baxter</t>
  </si>
  <si>
    <t xml:space="preserve"> Teresa</t>
  </si>
  <si>
    <t>Mercado</t>
  </si>
  <si>
    <t>Patel</t>
  </si>
  <si>
    <t>Rodriguez</t>
  </si>
  <si>
    <t>Conley</t>
  </si>
  <si>
    <t>Vincent</t>
  </si>
  <si>
    <t xml:space="preserve"> Guy</t>
  </si>
  <si>
    <t>Dixon</t>
  </si>
  <si>
    <t>Schultz</t>
  </si>
  <si>
    <t xml:space="preserve"> Norman</t>
  </si>
  <si>
    <t>Cox</t>
  </si>
  <si>
    <t xml:space="preserve"> Stephanie</t>
  </si>
  <si>
    <t>Conner</t>
  </si>
  <si>
    <t>Rojas</t>
  </si>
  <si>
    <t>McCall</t>
  </si>
  <si>
    <t>Burns</t>
  </si>
  <si>
    <t xml:space="preserve"> Fiona</t>
  </si>
  <si>
    <t>Herman</t>
  </si>
  <si>
    <t xml:space="preserve"> Henrietta</t>
  </si>
  <si>
    <t>Meyers</t>
  </si>
  <si>
    <t>Walker</t>
  </si>
  <si>
    <t xml:space="preserve"> Mike</t>
  </si>
  <si>
    <t>Butler</t>
  </si>
  <si>
    <t xml:space="preserve"> Roy</t>
  </si>
  <si>
    <t>Carrillo</t>
  </si>
  <si>
    <t>Bridges</t>
  </si>
  <si>
    <t xml:space="preserve"> Jeff</t>
  </si>
  <si>
    <t>Berry</t>
  </si>
  <si>
    <t xml:space="preserve"> Jacklyn</t>
  </si>
  <si>
    <t>O'Neal</t>
  </si>
  <si>
    <t xml:space="preserve"> William</t>
  </si>
  <si>
    <t>Frazier</t>
  </si>
  <si>
    <t>Rice</t>
  </si>
  <si>
    <t>Sharp</t>
  </si>
  <si>
    <t xml:space="preserve"> Janine</t>
  </si>
  <si>
    <t>Boyer</t>
  </si>
  <si>
    <t>Allen</t>
  </si>
  <si>
    <t xml:space="preserve"> Thomas</t>
  </si>
  <si>
    <t>Cole</t>
  </si>
  <si>
    <t xml:space="preserve"> Elbert</t>
  </si>
  <si>
    <t>Boyd</t>
  </si>
  <si>
    <t>Larson</t>
  </si>
  <si>
    <t>Roth</t>
  </si>
  <si>
    <t xml:space="preserve"> Tony</t>
  </si>
  <si>
    <t>Stewart</t>
  </si>
  <si>
    <t xml:space="preserve"> Elizabeth</t>
  </si>
  <si>
    <t>Robinson</t>
  </si>
  <si>
    <t>Blackburn</t>
  </si>
  <si>
    <t xml:space="preserve"> Kathryn</t>
  </si>
  <si>
    <t>Gibbs</t>
  </si>
  <si>
    <t>Greene</t>
  </si>
  <si>
    <t xml:space="preserve"> Alexander</t>
  </si>
  <si>
    <t>Fuller</t>
  </si>
  <si>
    <t>Callahan</t>
  </si>
  <si>
    <t xml:space="preserve"> Marilyn</t>
  </si>
  <si>
    <t>McConnell</t>
  </si>
  <si>
    <t>Smith</t>
  </si>
  <si>
    <t xml:space="preserve"> Koleen</t>
  </si>
  <si>
    <t>Herring</t>
  </si>
  <si>
    <t xml:space="preserve"> Joanna</t>
  </si>
  <si>
    <t>Fernandez</t>
  </si>
  <si>
    <t xml:space="preserve"> Marie</t>
  </si>
  <si>
    <t>Houston</t>
  </si>
  <si>
    <t>Francis</t>
  </si>
  <si>
    <t xml:space="preserve"> Todd</t>
  </si>
  <si>
    <t>Wright</t>
  </si>
  <si>
    <t xml:space="preserve"> Brad</t>
  </si>
  <si>
    <t>Sexton</t>
  </si>
  <si>
    <t>Dickerson</t>
  </si>
  <si>
    <t xml:space="preserve"> Lincoln</t>
  </si>
  <si>
    <t>Harris</t>
  </si>
  <si>
    <t>McGee</t>
  </si>
  <si>
    <t xml:space="preserve"> Carol</t>
  </si>
  <si>
    <t>Hobbs</t>
  </si>
  <si>
    <t>Merritt</t>
  </si>
  <si>
    <t>Perez</t>
  </si>
  <si>
    <t xml:space="preserve"> Kim</t>
  </si>
  <si>
    <t>Eaton</t>
  </si>
  <si>
    <t xml:space="preserve"> Cris</t>
  </si>
  <si>
    <t>Brady</t>
  </si>
  <si>
    <t xml:space="preserve"> Traci</t>
  </si>
  <si>
    <t>Joseph</t>
  </si>
  <si>
    <t>Golden</t>
  </si>
  <si>
    <t xml:space="preserve"> Christine</t>
  </si>
  <si>
    <t>Shelton</t>
  </si>
  <si>
    <t xml:space="preserve"> Donna</t>
  </si>
  <si>
    <t>Powell</t>
  </si>
  <si>
    <t xml:space="preserve"> Juli</t>
  </si>
  <si>
    <t>McBride</t>
  </si>
  <si>
    <t xml:space="preserve"> Grazyna</t>
  </si>
  <si>
    <t>Fields</t>
  </si>
  <si>
    <t xml:space="preserve"> Cathy</t>
  </si>
  <si>
    <t>Burgess</t>
  </si>
  <si>
    <t xml:space="preserve"> Cherie</t>
  </si>
  <si>
    <t>Melton</t>
  </si>
  <si>
    <t>Pittman</t>
  </si>
  <si>
    <t xml:space="preserve"> Bacardi</t>
  </si>
  <si>
    <t>Hurst</t>
  </si>
  <si>
    <t>Colon</t>
  </si>
  <si>
    <t xml:space="preserve"> Donnie</t>
  </si>
  <si>
    <t>Williamson</t>
  </si>
  <si>
    <t xml:space="preserve"> Sumed</t>
  </si>
  <si>
    <t>English</t>
  </si>
  <si>
    <t>Combs</t>
  </si>
  <si>
    <t>Osborne</t>
  </si>
  <si>
    <t xml:space="preserve"> Bill</t>
  </si>
  <si>
    <t>Sanders</t>
  </si>
  <si>
    <t>Bradford</t>
  </si>
  <si>
    <t xml:space="preserve"> Raymond</t>
  </si>
  <si>
    <t>Sullivan</t>
  </si>
  <si>
    <t>Barber</t>
  </si>
  <si>
    <t xml:space="preserve"> Robbie</t>
  </si>
  <si>
    <t>Humphrey</t>
  </si>
  <si>
    <t xml:space="preserve"> Andrew</t>
  </si>
  <si>
    <t>Browning</t>
  </si>
  <si>
    <t>Whitaker</t>
  </si>
  <si>
    <t xml:space="preserve"> Jessica</t>
  </si>
  <si>
    <t>Bates</t>
  </si>
  <si>
    <t xml:space="preserve"> Verna</t>
  </si>
  <si>
    <t>Little</t>
  </si>
  <si>
    <t>Velasquez</t>
  </si>
  <si>
    <t xml:space="preserve"> Clint</t>
  </si>
  <si>
    <t>Ryan</t>
  </si>
  <si>
    <t xml:space="preserve"> Ryan</t>
  </si>
  <si>
    <t>House</t>
  </si>
  <si>
    <t>Petersen</t>
  </si>
  <si>
    <t>Hampton</t>
  </si>
  <si>
    <t xml:space="preserve"> Catherine</t>
  </si>
  <si>
    <t>Miller</t>
  </si>
  <si>
    <t>McKee</t>
  </si>
  <si>
    <t>Barron</t>
  </si>
  <si>
    <t>Summers</t>
  </si>
  <si>
    <t xml:space="preserve"> Harold</t>
  </si>
  <si>
    <t>Atkins</t>
  </si>
  <si>
    <t>Chambers</t>
  </si>
  <si>
    <t>Jacobs</t>
  </si>
  <si>
    <t xml:space="preserve"> Florianne</t>
  </si>
  <si>
    <t>Wilkinson</t>
  </si>
  <si>
    <t>Pearson</t>
  </si>
  <si>
    <t xml:space="preserve"> Cassy</t>
  </si>
  <si>
    <t>Moran</t>
  </si>
  <si>
    <t>Huffman</t>
  </si>
  <si>
    <t xml:space="preserve"> Ignacio</t>
  </si>
  <si>
    <t>Marshall</t>
  </si>
  <si>
    <t xml:space="preserve"> Anita</t>
  </si>
  <si>
    <t>Clay</t>
  </si>
  <si>
    <t>Collins</t>
  </si>
  <si>
    <t>Elliott</t>
  </si>
  <si>
    <t>Mitchell</t>
  </si>
  <si>
    <t xml:space="preserve"> Shannon</t>
  </si>
  <si>
    <t>Stafford</t>
  </si>
  <si>
    <t xml:space="preserve"> Rhonda</t>
  </si>
  <si>
    <t>Parker</t>
  </si>
  <si>
    <t xml:space="preserve"> Carl</t>
  </si>
  <si>
    <t>Kemp</t>
  </si>
  <si>
    <t xml:space="preserve"> Holly</t>
  </si>
  <si>
    <t>Richards</t>
  </si>
  <si>
    <t>Mendez</t>
  </si>
  <si>
    <t xml:space="preserve"> Max</t>
  </si>
  <si>
    <t>Brock</t>
  </si>
  <si>
    <t xml:space="preserve"> Ensley</t>
  </si>
  <si>
    <t>Sloan</t>
  </si>
  <si>
    <t xml:space="preserve"> Cindy</t>
  </si>
  <si>
    <t>Washington</t>
  </si>
  <si>
    <t xml:space="preserve"> Phillip</t>
  </si>
  <si>
    <t>Pena</t>
  </si>
  <si>
    <t>Finley</t>
  </si>
  <si>
    <t xml:space="preserve"> James</t>
  </si>
  <si>
    <t>Payne</t>
  </si>
  <si>
    <t xml:space="preserve"> Vicky</t>
  </si>
  <si>
    <t>McKinney</t>
  </si>
  <si>
    <t>Snow</t>
  </si>
  <si>
    <t xml:space="preserve"> Desiree</t>
  </si>
  <si>
    <t>Weaver</t>
  </si>
  <si>
    <t>Drake</t>
  </si>
  <si>
    <t xml:space="preserve"> Kyle</t>
  </si>
  <si>
    <t>Bradley</t>
  </si>
  <si>
    <t>Trujillo</t>
  </si>
  <si>
    <t xml:space="preserve"> Shawn</t>
  </si>
  <si>
    <t>Bell</t>
  </si>
  <si>
    <t>Lyons</t>
  </si>
  <si>
    <t>Ayers</t>
  </si>
  <si>
    <t>Peters</t>
  </si>
  <si>
    <t>Benson</t>
  </si>
  <si>
    <t>McGuire</t>
  </si>
  <si>
    <t xml:space="preserve"> Rebecca</t>
  </si>
  <si>
    <t>Price</t>
  </si>
  <si>
    <t xml:space="preserve"> Diana</t>
  </si>
  <si>
    <t>Decker</t>
  </si>
  <si>
    <t xml:space="preserve"> Amy</t>
  </si>
  <si>
    <t>McLaughlin</t>
  </si>
  <si>
    <t xml:space="preserve"> Edward</t>
  </si>
  <si>
    <t>Diaz</t>
  </si>
  <si>
    <t>Davidson</t>
  </si>
  <si>
    <t>Manning</t>
  </si>
  <si>
    <t>Harrison</t>
  </si>
  <si>
    <t>Moss</t>
  </si>
  <si>
    <t xml:space="preserve"> Chan</t>
  </si>
  <si>
    <t xml:space="preserve"> Christian</t>
  </si>
  <si>
    <t>Coleman</t>
  </si>
  <si>
    <t xml:space="preserve"> Roque</t>
  </si>
  <si>
    <t>Patrick</t>
  </si>
  <si>
    <t xml:space="preserve"> Wendy</t>
  </si>
  <si>
    <t>Parrish</t>
  </si>
  <si>
    <t>Carson</t>
  </si>
  <si>
    <t>Heath</t>
  </si>
  <si>
    <t>Day</t>
  </si>
  <si>
    <t>Dominguez</t>
  </si>
  <si>
    <t xml:space="preserve"> Duane</t>
  </si>
  <si>
    <t>Flores</t>
  </si>
  <si>
    <t>Richard</t>
  </si>
  <si>
    <t>Nash</t>
  </si>
  <si>
    <t>Camacho</t>
  </si>
  <si>
    <t>Glover</t>
  </si>
  <si>
    <t xml:space="preserve"> Eugene</t>
  </si>
  <si>
    <t>Meyer</t>
  </si>
  <si>
    <t>Haynes</t>
  </si>
  <si>
    <t xml:space="preserve"> Ernest</t>
  </si>
  <si>
    <t>Rhodes</t>
  </si>
  <si>
    <t>Hanson</t>
  </si>
  <si>
    <t>Manufacturing Admin</t>
  </si>
  <si>
    <t>Wood</t>
  </si>
  <si>
    <t>Savage</t>
  </si>
  <si>
    <t>Carr</t>
  </si>
  <si>
    <t xml:space="preserve"> Susan</t>
  </si>
  <si>
    <t>Alexander</t>
  </si>
  <si>
    <t>Hernandez</t>
  </si>
  <si>
    <t xml:space="preserve"> Glenn</t>
  </si>
  <si>
    <t>Roberts</t>
  </si>
  <si>
    <t xml:space="preserve"> Jackie</t>
  </si>
  <si>
    <t>Trevino</t>
  </si>
  <si>
    <t xml:space="preserve"> Gary</t>
  </si>
  <si>
    <t>Marketing</t>
  </si>
  <si>
    <t>Knox</t>
  </si>
  <si>
    <t xml:space="preserve"> Lori</t>
  </si>
  <si>
    <t>Bishop</t>
  </si>
  <si>
    <t xml:space="preserve"> Juan</t>
  </si>
  <si>
    <t>Brooks</t>
  </si>
  <si>
    <t>Howard</t>
  </si>
  <si>
    <t>Marquez</t>
  </si>
  <si>
    <t>Reyes</t>
  </si>
  <si>
    <t xml:space="preserve"> Mary</t>
  </si>
  <si>
    <t>Reynolds</t>
  </si>
  <si>
    <t xml:space="preserve"> Barbara</t>
  </si>
  <si>
    <t>Lambert</t>
  </si>
  <si>
    <t xml:space="preserve"> Jody</t>
  </si>
  <si>
    <t>Leach</t>
  </si>
  <si>
    <t xml:space="preserve"> Jingwen</t>
  </si>
  <si>
    <t>Holmes</t>
  </si>
  <si>
    <t xml:space="preserve"> Tito</t>
  </si>
  <si>
    <t>Gill</t>
  </si>
  <si>
    <t>Koch</t>
  </si>
  <si>
    <t xml:space="preserve"> Danielle</t>
  </si>
  <si>
    <t>Stephens</t>
  </si>
  <si>
    <t xml:space="preserve"> Bonnie</t>
  </si>
  <si>
    <t>Patton</t>
  </si>
  <si>
    <t xml:space="preserve"> Corey</t>
  </si>
  <si>
    <t>Chavez</t>
  </si>
  <si>
    <t>Hull</t>
  </si>
  <si>
    <t xml:space="preserve"> Jeanne</t>
  </si>
  <si>
    <t>Hogan</t>
  </si>
  <si>
    <t>Prince</t>
  </si>
  <si>
    <t>Randall</t>
  </si>
  <si>
    <t xml:space="preserve"> Yvonne</t>
  </si>
  <si>
    <t>Reed</t>
  </si>
  <si>
    <t>Love</t>
  </si>
  <si>
    <t xml:space="preserve"> Danny</t>
  </si>
  <si>
    <t>Campbell</t>
  </si>
  <si>
    <t>Valdez</t>
  </si>
  <si>
    <t xml:space="preserve"> Ann</t>
  </si>
  <si>
    <t>Hamilton</t>
  </si>
  <si>
    <t xml:space="preserve"> Theo</t>
  </si>
  <si>
    <t>Buckel</t>
  </si>
  <si>
    <t>Fischer</t>
  </si>
  <si>
    <t>Spears</t>
  </si>
  <si>
    <t xml:space="preserve"> Melanie</t>
  </si>
  <si>
    <t>McLean</t>
  </si>
  <si>
    <t>Everett</t>
  </si>
  <si>
    <t xml:space="preserve"> Dan</t>
  </si>
  <si>
    <t>Robles</t>
  </si>
  <si>
    <t>Ingram</t>
  </si>
  <si>
    <t xml:space="preserve"> Matt</t>
  </si>
  <si>
    <t>Ross</t>
  </si>
  <si>
    <t xml:space="preserve"> Janice</t>
  </si>
  <si>
    <t>Lowery</t>
  </si>
  <si>
    <t>Gonzales</t>
  </si>
  <si>
    <t>Blevins</t>
  </si>
  <si>
    <t xml:space="preserve"> Carey</t>
  </si>
  <si>
    <t>Jones</t>
  </si>
  <si>
    <t>Bush</t>
  </si>
  <si>
    <t xml:space="preserve"> Rena</t>
  </si>
  <si>
    <t>Simon</t>
  </si>
  <si>
    <t xml:space="preserve"> Sheila</t>
  </si>
  <si>
    <t>Johnston</t>
  </si>
  <si>
    <t>Tucker</t>
  </si>
  <si>
    <t>Johns</t>
  </si>
  <si>
    <t>Griffin</t>
  </si>
  <si>
    <t xml:space="preserve"> Debbi</t>
  </si>
  <si>
    <t>Waters</t>
  </si>
  <si>
    <t xml:space="preserve"> Alfred</t>
  </si>
  <si>
    <t>Caldwell</t>
  </si>
  <si>
    <t xml:space="preserve"> Pete</t>
  </si>
  <si>
    <t>Bryant</t>
  </si>
  <si>
    <t>Weeks</t>
  </si>
  <si>
    <t>Barr</t>
  </si>
  <si>
    <t xml:space="preserve"> Jennifer</t>
  </si>
  <si>
    <t>Jensen</t>
  </si>
  <si>
    <t xml:space="preserve"> Kristina</t>
  </si>
  <si>
    <t>Moore</t>
  </si>
  <si>
    <t>Sellers</t>
  </si>
  <si>
    <t>Maynard</t>
  </si>
  <si>
    <t>Sales</t>
  </si>
  <si>
    <t>Norman</t>
  </si>
  <si>
    <t xml:space="preserve"> Rita</t>
  </si>
  <si>
    <t>Leon</t>
  </si>
  <si>
    <t xml:space="preserve"> Emily</t>
  </si>
  <si>
    <t>Vaughn</t>
  </si>
  <si>
    <t xml:space="preserve"> Harlon</t>
  </si>
  <si>
    <t>Arnold</t>
  </si>
  <si>
    <t xml:space="preserve"> Cole</t>
  </si>
  <si>
    <t>Kelly</t>
  </si>
  <si>
    <t xml:space="preserve"> Icelita</t>
  </si>
  <si>
    <t>Bowers</t>
  </si>
  <si>
    <t xml:space="preserve"> Tammy</t>
  </si>
  <si>
    <t>McCullough</t>
  </si>
  <si>
    <t>Owen</t>
  </si>
  <si>
    <t>Livingston</t>
  </si>
  <si>
    <t xml:space="preserve"> Lynette</t>
  </si>
  <si>
    <t>Lucas</t>
  </si>
  <si>
    <t>Byrd</t>
  </si>
  <si>
    <t xml:space="preserve"> Asa</t>
  </si>
  <si>
    <t>Short</t>
  </si>
  <si>
    <t>McCarthy</t>
  </si>
  <si>
    <t>Ball</t>
  </si>
  <si>
    <t xml:space="preserve"> Kirk</t>
  </si>
  <si>
    <t>Burke</t>
  </si>
  <si>
    <t>Pope</t>
  </si>
  <si>
    <t>Christensen</t>
  </si>
  <si>
    <t>Franklin</t>
  </si>
  <si>
    <t xml:space="preserve"> Alicia</t>
  </si>
  <si>
    <t>Moody</t>
  </si>
  <si>
    <t>Bryan</t>
  </si>
  <si>
    <t>Knight</t>
  </si>
  <si>
    <t>Stephenson</t>
  </si>
  <si>
    <t>Medina</t>
  </si>
  <si>
    <t xml:space="preserve"> Warren</t>
  </si>
  <si>
    <t>Wall</t>
  </si>
  <si>
    <t>Ellis</t>
  </si>
  <si>
    <t>IT</t>
  </si>
  <si>
    <t>Ballard</t>
  </si>
  <si>
    <t xml:space="preserve"> Martin</t>
  </si>
  <si>
    <t>Reeves</t>
  </si>
  <si>
    <t>Sutton</t>
  </si>
  <si>
    <t>Hancock</t>
  </si>
  <si>
    <t xml:space="preserve"> Allen</t>
  </si>
  <si>
    <t>Mathews</t>
  </si>
  <si>
    <t xml:space="preserve"> Marcia</t>
  </si>
  <si>
    <t>Saunders</t>
  </si>
  <si>
    <t>Banks</t>
  </si>
  <si>
    <t>Fowler</t>
  </si>
  <si>
    <t>Greer</t>
  </si>
  <si>
    <t>Garrison</t>
  </si>
  <si>
    <t>Pace</t>
  </si>
  <si>
    <t xml:space="preserve"> Joseph</t>
  </si>
  <si>
    <t>Skinner</t>
  </si>
  <si>
    <t xml:space="preserve"> Jason</t>
  </si>
  <si>
    <t>Dudley</t>
  </si>
  <si>
    <t>Floyd</t>
  </si>
  <si>
    <t>Russell</t>
  </si>
  <si>
    <t>Chandler</t>
  </si>
  <si>
    <t>Mosley</t>
  </si>
  <si>
    <t>Robbins</t>
  </si>
  <si>
    <t xml:space="preserve"> Suzanne</t>
  </si>
  <si>
    <t>Walsh</t>
  </si>
  <si>
    <t>Morris</t>
  </si>
  <si>
    <t xml:space="preserve"> Richelle</t>
  </si>
  <si>
    <t>Hess</t>
  </si>
  <si>
    <t>McClain</t>
  </si>
  <si>
    <t>Bennett</t>
  </si>
  <si>
    <t>Hodges</t>
  </si>
  <si>
    <t>Bauer</t>
  </si>
  <si>
    <t>Best</t>
  </si>
  <si>
    <t xml:space="preserve"> Lara</t>
  </si>
  <si>
    <t>Guerrero</t>
  </si>
  <si>
    <t>Murray</t>
  </si>
  <si>
    <t>Anthony</t>
  </si>
  <si>
    <t>Sawyer</t>
  </si>
  <si>
    <t>Alvarado</t>
  </si>
  <si>
    <t xml:space="preserve"> Sonia</t>
  </si>
  <si>
    <t>Olson</t>
  </si>
  <si>
    <t>Peterson</t>
  </si>
  <si>
    <t>Orr</t>
  </si>
  <si>
    <t>Cline</t>
  </si>
  <si>
    <t>Hines</t>
  </si>
  <si>
    <t xml:space="preserve"> Herb</t>
  </si>
  <si>
    <t>Underwood</t>
  </si>
  <si>
    <t>Terry</t>
  </si>
  <si>
    <t>Yates</t>
  </si>
  <si>
    <t xml:space="preserve"> Doug</t>
  </si>
  <si>
    <t>Luna</t>
  </si>
  <si>
    <t xml:space="preserve"> Rodney</t>
  </si>
  <si>
    <t>Wong</t>
  </si>
  <si>
    <t>Mack</t>
  </si>
  <si>
    <t xml:space="preserve"> Barry</t>
  </si>
  <si>
    <t>Guerra</t>
  </si>
  <si>
    <t>Barton</t>
  </si>
  <si>
    <t>Professional Training Group</t>
  </si>
  <si>
    <t>Gentry</t>
  </si>
  <si>
    <t>Williams</t>
  </si>
  <si>
    <t>Lamb</t>
  </si>
  <si>
    <t>Parsons</t>
  </si>
  <si>
    <t>Contreras</t>
  </si>
  <si>
    <t xml:space="preserve"> Dean</t>
  </si>
  <si>
    <t>Dodson</t>
  </si>
  <si>
    <t>Rodriquez</t>
  </si>
  <si>
    <t>Webb</t>
  </si>
  <si>
    <t xml:space="preserve"> Jim</t>
  </si>
  <si>
    <t>Cross</t>
  </si>
  <si>
    <t>Watts</t>
  </si>
  <si>
    <t xml:space="preserve"> Curtis</t>
  </si>
  <si>
    <t>Bartlett</t>
  </si>
  <si>
    <t xml:space="preserve"> Julia</t>
  </si>
  <si>
    <t>Garza</t>
  </si>
  <si>
    <t>Maldonado</t>
  </si>
  <si>
    <t>Estes</t>
  </si>
  <si>
    <t>Hartman</t>
  </si>
  <si>
    <t>Gutierrez</t>
  </si>
  <si>
    <t xml:space="preserve"> Regina</t>
  </si>
  <si>
    <t>Account Management</t>
  </si>
  <si>
    <t xml:space="preserve"> Jeffrey</t>
  </si>
  <si>
    <t>Farmer</t>
  </si>
  <si>
    <t>Grant</t>
  </si>
  <si>
    <t>Hayes</t>
  </si>
  <si>
    <t>Horn</t>
  </si>
  <si>
    <t xml:space="preserve"> George</t>
  </si>
  <si>
    <t>Frost</t>
  </si>
  <si>
    <t xml:space="preserve"> Adam</t>
  </si>
  <si>
    <t>Fitzgerald</t>
  </si>
  <si>
    <t>Carter</t>
  </si>
  <si>
    <t xml:space="preserve"> Allan</t>
  </si>
  <si>
    <t>Kirby</t>
  </si>
  <si>
    <t>Henson</t>
  </si>
  <si>
    <t>Higgins</t>
  </si>
  <si>
    <t>Cobb</t>
  </si>
  <si>
    <t xml:space="preserve"> Nicole</t>
  </si>
  <si>
    <t>Barker</t>
  </si>
  <si>
    <t xml:space="preserve"> Heidi</t>
  </si>
  <si>
    <t>Atkinson</t>
  </si>
  <si>
    <t>Watkins</t>
  </si>
  <si>
    <t>Gilbert</t>
  </si>
  <si>
    <t>Christian</t>
  </si>
  <si>
    <t xml:space="preserve"> Melissa</t>
  </si>
  <si>
    <t>Scott</t>
  </si>
  <si>
    <t>Burnett</t>
  </si>
  <si>
    <t>Ayala</t>
  </si>
  <si>
    <t xml:space="preserve"> Polly</t>
  </si>
  <si>
    <t>Rivers</t>
  </si>
  <si>
    <t>Neal</t>
  </si>
  <si>
    <t xml:space="preserve"> Sally</t>
  </si>
  <si>
    <t>Freeman</t>
  </si>
  <si>
    <t>French</t>
  </si>
  <si>
    <t>Edwards</t>
  </si>
  <si>
    <t>Lynch</t>
  </si>
  <si>
    <t>Shaw</t>
  </si>
  <si>
    <t xml:space="preserve"> Pat</t>
  </si>
  <si>
    <t>Jefferson</t>
  </si>
  <si>
    <t xml:space="preserve"> Elaine</t>
  </si>
  <si>
    <t>Booth</t>
  </si>
  <si>
    <t xml:space="preserve"> Raquel</t>
  </si>
  <si>
    <t>Soto</t>
  </si>
  <si>
    <t>Serrano</t>
  </si>
  <si>
    <t xml:space="preserve"> Al</t>
  </si>
  <si>
    <t>Vasquez</t>
  </si>
  <si>
    <t>Shepherd</t>
  </si>
  <si>
    <t xml:space="preserve"> Annie</t>
  </si>
  <si>
    <t>Roman</t>
  </si>
  <si>
    <t xml:space="preserve"> Teri</t>
  </si>
  <si>
    <t>Cain</t>
  </si>
  <si>
    <t xml:space="preserve"> Lon</t>
  </si>
  <si>
    <t>Bean</t>
  </si>
  <si>
    <t>Jackson</t>
  </si>
  <si>
    <t>Lindsey</t>
  </si>
  <si>
    <t>Lawson</t>
  </si>
  <si>
    <t>Harper</t>
  </si>
  <si>
    <t xml:space="preserve"> Cynthia</t>
  </si>
  <si>
    <t>Preston</t>
  </si>
  <si>
    <t>Schmidt</t>
  </si>
  <si>
    <t>Ward</t>
  </si>
  <si>
    <t xml:space="preserve"> Williams</t>
  </si>
  <si>
    <t>William</t>
  </si>
  <si>
    <t>Gordon</t>
  </si>
  <si>
    <t>Ramsey</t>
  </si>
  <si>
    <t>Morrow</t>
  </si>
  <si>
    <t>Andrews</t>
  </si>
  <si>
    <t>Anderson</t>
  </si>
  <si>
    <t xml:space="preserve"> Teason</t>
  </si>
  <si>
    <t>Howell</t>
  </si>
  <si>
    <t>Vargas</t>
  </si>
  <si>
    <t xml:space="preserve"> Bryant</t>
  </si>
  <si>
    <t>Long</t>
  </si>
  <si>
    <t>Wiley</t>
  </si>
  <si>
    <t xml:space="preserve"> Gustavo</t>
  </si>
  <si>
    <t>Cannon</t>
  </si>
  <si>
    <t xml:space="preserve"> Jenny</t>
  </si>
  <si>
    <t>Walters</t>
  </si>
  <si>
    <t>Espinoza</t>
  </si>
  <si>
    <t xml:space="preserve"> Derrell</t>
  </si>
  <si>
    <t>Frank</t>
  </si>
  <si>
    <t>Austin</t>
  </si>
  <si>
    <t>Fox</t>
  </si>
  <si>
    <t xml:space="preserve"> Ellen</t>
  </si>
  <si>
    <t>Castillo</t>
  </si>
  <si>
    <t xml:space="preserve"> Sheri</t>
  </si>
  <si>
    <t>Cameron</t>
  </si>
  <si>
    <t>Wilson</t>
  </si>
  <si>
    <t>Morton</t>
  </si>
  <si>
    <t>Delgado</t>
  </si>
  <si>
    <t xml:space="preserve"> Dale</t>
  </si>
  <si>
    <t>Walls</t>
  </si>
  <si>
    <t>Mann</t>
  </si>
  <si>
    <t xml:space="preserve"> Lowell</t>
  </si>
  <si>
    <t>Herrera</t>
  </si>
  <si>
    <t>Chapman</t>
  </si>
  <si>
    <t>Bowman</t>
  </si>
  <si>
    <t>Moses</t>
  </si>
  <si>
    <t>Shannon</t>
  </si>
  <si>
    <t>Stanley</t>
  </si>
  <si>
    <t>Ashley</t>
  </si>
  <si>
    <t>Holloway</t>
  </si>
  <si>
    <t>Jennings</t>
  </si>
  <si>
    <t>Reid</t>
  </si>
  <si>
    <t>Jenkins</t>
  </si>
  <si>
    <t>Glass</t>
  </si>
  <si>
    <t>Woodard</t>
  </si>
  <si>
    <t>Ford</t>
  </si>
  <si>
    <t>Solis</t>
  </si>
  <si>
    <t>Villarreal</t>
  </si>
  <si>
    <t>Doyle</t>
  </si>
  <si>
    <t xml:space="preserve"> Leslie</t>
  </si>
  <si>
    <t>Curry</t>
  </si>
  <si>
    <t xml:space="preserve"> Hunyen</t>
  </si>
  <si>
    <t>Wells</t>
  </si>
  <si>
    <t xml:space="preserve"> Carlos</t>
  </si>
  <si>
    <t>Cabe</t>
  </si>
  <si>
    <t>King</t>
  </si>
  <si>
    <t xml:space="preserve"> Taslim</t>
  </si>
  <si>
    <t>Quality Assurance</t>
  </si>
  <si>
    <t>Adkins</t>
  </si>
  <si>
    <t>Fisher</t>
  </si>
  <si>
    <t xml:space="preserve"> Maria</t>
  </si>
  <si>
    <t>Foster</t>
  </si>
  <si>
    <t xml:space="preserve"> Blane</t>
  </si>
  <si>
    <t>Rogers</t>
  </si>
  <si>
    <t xml:space="preserve"> Colleen</t>
  </si>
  <si>
    <t>Wilcox</t>
  </si>
  <si>
    <t>Abbott</t>
  </si>
  <si>
    <t>Kirk</t>
  </si>
  <si>
    <t>Black</t>
  </si>
  <si>
    <t xml:space="preserve"> Cliff</t>
  </si>
  <si>
    <t>Johnson</t>
  </si>
  <si>
    <t xml:space="preserve"> Mary Jo</t>
  </si>
  <si>
    <t>Moreno</t>
  </si>
  <si>
    <t>Alvarez</t>
  </si>
  <si>
    <t>Strong</t>
  </si>
  <si>
    <t>Charles</t>
  </si>
  <si>
    <t>Mason</t>
  </si>
  <si>
    <t>Acosta</t>
  </si>
  <si>
    <t>Pugh</t>
  </si>
  <si>
    <t xml:space="preserve"> Lawrence</t>
  </si>
  <si>
    <t>McDaniel</t>
  </si>
  <si>
    <t>Hoffman</t>
  </si>
  <si>
    <t xml:space="preserve"> Brian D</t>
  </si>
  <si>
    <t>Carpenter</t>
  </si>
  <si>
    <t>Stevens</t>
  </si>
  <si>
    <t>Harrell</t>
  </si>
  <si>
    <t xml:space="preserve"> Cristin</t>
  </si>
  <si>
    <t>Dyer</t>
  </si>
  <si>
    <t xml:space="preserve"> Carrie</t>
  </si>
  <si>
    <t>Blankenship</t>
  </si>
  <si>
    <t>Barnes</t>
  </si>
  <si>
    <t xml:space="preserve"> Grant</t>
  </si>
  <si>
    <t>Turner</t>
  </si>
  <si>
    <t xml:space="preserve"> Ray</t>
  </si>
  <si>
    <t>Solomon</t>
  </si>
  <si>
    <t>Clark</t>
  </si>
  <si>
    <t>Tyler</t>
  </si>
  <si>
    <t xml:space="preserve"> Javier</t>
  </si>
  <si>
    <t>Owens</t>
  </si>
  <si>
    <t xml:space="preserve"> Dwight</t>
  </si>
  <si>
    <t>Schroeder</t>
  </si>
  <si>
    <t xml:space="preserve"> Bennet</t>
  </si>
  <si>
    <t>Henry</t>
  </si>
  <si>
    <t>Guzman</t>
  </si>
  <si>
    <t xml:space="preserve"> Don</t>
  </si>
  <si>
    <t>Marks</t>
  </si>
  <si>
    <t xml:space="preserve"> LaReina</t>
  </si>
  <si>
    <t>Aguilar</t>
  </si>
  <si>
    <t>Gaines</t>
  </si>
  <si>
    <t xml:space="preserve"> Sheela</t>
  </si>
  <si>
    <t>Rush</t>
  </si>
  <si>
    <t xml:space="preserve"> Lateef</t>
  </si>
  <si>
    <t>Munoz</t>
  </si>
  <si>
    <t>Horton</t>
  </si>
  <si>
    <t xml:space="preserve"> Cleatis</t>
  </si>
  <si>
    <t>Lane</t>
  </si>
  <si>
    <t xml:space="preserve"> Brandyn</t>
  </si>
  <si>
    <t>Duncan</t>
  </si>
  <si>
    <t>Bruce</t>
  </si>
  <si>
    <t>Ruiz</t>
  </si>
  <si>
    <t xml:space="preserve"> Randall</t>
  </si>
  <si>
    <t>Warner</t>
  </si>
  <si>
    <t>Glenn</t>
  </si>
  <si>
    <t>Vega</t>
  </si>
  <si>
    <t xml:space="preserve"> Alexandra</t>
  </si>
  <si>
    <t>Murphy</t>
  </si>
  <si>
    <t>Middleton</t>
  </si>
  <si>
    <t xml:space="preserve"> Jen</t>
  </si>
  <si>
    <t>Walter</t>
  </si>
  <si>
    <t>Ferguson</t>
  </si>
  <si>
    <t>Dennis</t>
  </si>
  <si>
    <t>Collier</t>
  </si>
  <si>
    <t>Santiago</t>
  </si>
  <si>
    <t>Paul</t>
  </si>
  <si>
    <t>Branch</t>
  </si>
  <si>
    <t xml:space="preserve"> Brady</t>
  </si>
  <si>
    <t>Hughes</t>
  </si>
  <si>
    <t>Harrington</t>
  </si>
  <si>
    <t xml:space="preserve"> Aron</t>
  </si>
  <si>
    <t>Hatfield</t>
  </si>
  <si>
    <t>Torres</t>
  </si>
  <si>
    <t>McCormick</t>
  </si>
  <si>
    <t xml:space="preserve"> Hsi</t>
  </si>
  <si>
    <t>Miles</t>
  </si>
  <si>
    <t>Massey</t>
  </si>
  <si>
    <t>Cooper</t>
  </si>
  <si>
    <t>Monroe</t>
  </si>
  <si>
    <t>O'Brien</t>
  </si>
  <si>
    <t xml:space="preserve"> Madelyn</t>
  </si>
  <si>
    <t>Woods</t>
  </si>
  <si>
    <t xml:space="preserve"> Marcus</t>
  </si>
  <si>
    <t>Hoover</t>
  </si>
  <si>
    <t xml:space="preserve"> Evangeline</t>
  </si>
  <si>
    <t>Dean</t>
  </si>
  <si>
    <t xml:space="preserve"> Gayla</t>
  </si>
  <si>
    <t>Holt</t>
  </si>
  <si>
    <t>Hodge</t>
  </si>
  <si>
    <t>Avila</t>
  </si>
  <si>
    <t>Velez</t>
  </si>
  <si>
    <t xml:space="preserve"> Letitia</t>
  </si>
  <si>
    <t>Baldwin</t>
  </si>
  <si>
    <t>George</t>
  </si>
  <si>
    <t>Quality Control</t>
  </si>
  <si>
    <t>Rodgers</t>
  </si>
  <si>
    <t>Giles</t>
  </si>
  <si>
    <t>Kelley</t>
  </si>
  <si>
    <t xml:space="preserve"> Nancy</t>
  </si>
  <si>
    <t>Armstrong</t>
  </si>
  <si>
    <t>Barrett</t>
  </si>
  <si>
    <t>Quinn</t>
  </si>
  <si>
    <t xml:space="preserve"> Cinnamon</t>
  </si>
  <si>
    <t>Keller</t>
  </si>
  <si>
    <t>Sparks</t>
  </si>
  <si>
    <t xml:space="preserve"> Terri</t>
  </si>
  <si>
    <t>Lang</t>
  </si>
  <si>
    <t>Singleton</t>
  </si>
  <si>
    <t>Hensley</t>
  </si>
  <si>
    <t>Blackwell</t>
  </si>
  <si>
    <t xml:space="preserve"> Brandon</t>
  </si>
  <si>
    <t>Erickson</t>
  </si>
  <si>
    <t xml:space="preserve"> Ricky</t>
  </si>
  <si>
    <t>Leonard</t>
  </si>
  <si>
    <t>McIntosh</t>
  </si>
  <si>
    <t xml:space="preserve"> Jeremy</t>
  </si>
  <si>
    <t>Ramirez</t>
  </si>
  <si>
    <t>Kramer</t>
  </si>
  <si>
    <t xml:space="preserve"> Faye</t>
  </si>
  <si>
    <t>Palmer</t>
  </si>
  <si>
    <t>Daniels</t>
  </si>
  <si>
    <t xml:space="preserve"> Janet</t>
  </si>
  <si>
    <t>Graves</t>
  </si>
  <si>
    <t>Hicks</t>
  </si>
  <si>
    <t xml:space="preserve"> Monica</t>
  </si>
  <si>
    <t>Newman</t>
  </si>
  <si>
    <t xml:space="preserve"> Aria</t>
  </si>
  <si>
    <t>Zimmerman</t>
  </si>
  <si>
    <t xml:space="preserve"> Julian</t>
  </si>
  <si>
    <t>Roy</t>
  </si>
  <si>
    <t xml:space="preserve"> Margarita</t>
  </si>
  <si>
    <t>Welch</t>
  </si>
  <si>
    <t>Pennington</t>
  </si>
  <si>
    <t>Hunt</t>
  </si>
  <si>
    <t>Casey</t>
  </si>
  <si>
    <t>Grimes</t>
  </si>
  <si>
    <t>Sandoval</t>
  </si>
  <si>
    <t>Beasley</t>
  </si>
  <si>
    <t>Morrison</t>
  </si>
  <si>
    <t xml:space="preserve"> Julie</t>
  </si>
  <si>
    <t>Schwartz</t>
  </si>
  <si>
    <t>Hansen</t>
  </si>
  <si>
    <t>Morales</t>
  </si>
  <si>
    <t>Ortega</t>
  </si>
  <si>
    <t>Mills</t>
  </si>
  <si>
    <t>Stevenson</t>
  </si>
  <si>
    <t>Ellison</t>
  </si>
  <si>
    <t xml:space="preserve"> Melyssa</t>
  </si>
  <si>
    <t>Sheppard</t>
  </si>
  <si>
    <t>Keith</t>
  </si>
  <si>
    <t>Garrett</t>
  </si>
  <si>
    <t>Cook</t>
  </si>
  <si>
    <t>Bowen</t>
  </si>
  <si>
    <t xml:space="preserve"> Kes</t>
  </si>
  <si>
    <t>Davis</t>
  </si>
  <si>
    <t xml:space="preserve"> Tonya</t>
  </si>
  <si>
    <t>Hubbard</t>
  </si>
  <si>
    <t xml:space="preserve"> Sandra</t>
  </si>
  <si>
    <t>Blake</t>
  </si>
  <si>
    <t>Buchanan</t>
  </si>
  <si>
    <t>Brown</t>
  </si>
  <si>
    <t>Harvey</t>
  </si>
  <si>
    <t>Ware</t>
  </si>
  <si>
    <t>Parks</t>
  </si>
  <si>
    <t>Kennedy</t>
  </si>
  <si>
    <t xml:space="preserve"> Kimberly</t>
  </si>
  <si>
    <t>Salazar</t>
  </si>
  <si>
    <t xml:space="preserve"> Ruben</t>
  </si>
  <si>
    <t>Davenport</t>
  </si>
  <si>
    <t>Cochran</t>
  </si>
  <si>
    <t>Wilkerson</t>
  </si>
  <si>
    <t xml:space="preserve"> Claudia</t>
  </si>
  <si>
    <t>Snyder</t>
  </si>
  <si>
    <t>Myers</t>
  </si>
  <si>
    <t>Beard</t>
  </si>
  <si>
    <t xml:space="preserve"> Sandi</t>
  </si>
  <si>
    <t>Willis</t>
  </si>
  <si>
    <t xml:space="preserve"> Ralph</t>
  </si>
  <si>
    <t>Crawford</t>
  </si>
  <si>
    <t>Mueller</t>
  </si>
  <si>
    <t xml:space="preserve"> Philip</t>
  </si>
  <si>
    <t>Rivera</t>
  </si>
  <si>
    <t>Gibson</t>
  </si>
  <si>
    <t>Graham</t>
  </si>
  <si>
    <t>Lopez</t>
  </si>
  <si>
    <t>Ortiz</t>
  </si>
  <si>
    <t>Hall</t>
  </si>
  <si>
    <t>Cruz</t>
  </si>
  <si>
    <t xml:space="preserve"> Janene</t>
  </si>
  <si>
    <t>Jimenez</t>
  </si>
  <si>
    <t xml:space="preserve"> Dominic</t>
  </si>
  <si>
    <t>Sanchez</t>
  </si>
  <si>
    <t>Thomas</t>
  </si>
  <si>
    <t>Larsen</t>
  </si>
  <si>
    <t>Goodwin</t>
  </si>
  <si>
    <t xml:space="preserve"> April</t>
  </si>
  <si>
    <t>Gray</t>
  </si>
  <si>
    <t>Sims</t>
  </si>
  <si>
    <t>Marsh</t>
  </si>
  <si>
    <t>Martin</t>
  </si>
  <si>
    <t>Craig</t>
  </si>
  <si>
    <t xml:space="preserve"> Alan</t>
  </si>
  <si>
    <t>Hopkins</t>
  </si>
  <si>
    <t>Rose</t>
  </si>
  <si>
    <t>Salinas</t>
  </si>
  <si>
    <t>Gonzalez</t>
  </si>
  <si>
    <t>Garcia</t>
  </si>
  <si>
    <t>Klein</t>
  </si>
  <si>
    <t>Sweeney</t>
  </si>
  <si>
    <t>Hart</t>
  </si>
  <si>
    <t>McClure</t>
  </si>
  <si>
    <t>Lewis</t>
  </si>
  <si>
    <t xml:space="preserve"> Frederick</t>
  </si>
  <si>
    <t>Henderson</t>
  </si>
  <si>
    <t>Lester</t>
  </si>
  <si>
    <t xml:space="preserve"> Sherri</t>
  </si>
  <si>
    <t>Webster</t>
  </si>
  <si>
    <t>Bailey</t>
  </si>
  <si>
    <t xml:space="preserve"> Victor</t>
  </si>
  <si>
    <t>Research Center</t>
  </si>
  <si>
    <t>Montoya</t>
  </si>
  <si>
    <t>Dalton</t>
  </si>
  <si>
    <t>Patterson</t>
  </si>
  <si>
    <t>Leblanc</t>
  </si>
  <si>
    <t>Olsen</t>
  </si>
  <si>
    <t xml:space="preserve"> Ewan</t>
  </si>
  <si>
    <t>Research/Development</t>
  </si>
  <si>
    <t>Green</t>
  </si>
  <si>
    <t>Bradshaw</t>
  </si>
  <si>
    <t xml:space="preserve"> Sheryl</t>
  </si>
  <si>
    <t>Riley</t>
  </si>
  <si>
    <t>Flynn</t>
  </si>
  <si>
    <t>Employee Name</t>
  </si>
  <si>
    <t>Week 2</t>
  </si>
  <si>
    <t>Week 3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</si>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</sst>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&quot;$&quot;#,##0.00;\(&quot;$&quot;#,##0.00\)"/>
    <numFmt numFmtId="168" formatCode="_(&quot;$&quot;* #,##0_);_(&quot;$&quot;* \(#,##0\);_(&quot;$&quot;* &quot;-&quot;??_);_(@_)"/>
    <numFmt numFmtId="171" formatCode="_-[$$-409]* #,##0.00_ ;_-[$$-409]* \-#,##0.00\ ;_-[$$-409]* &quot;-&quot;??_ ;_-@_ "/>
  </numFmts>
  <fonts count="3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3"/>
      <name val="Cambria"/>
      <family val="1"/>
      <scheme val="major"/>
    </font>
    <font>
      <b/>
      <sz val="14"/>
      <color theme="3"/>
      <name val="Cambria"/>
      <family val="1"/>
      <scheme val="major"/>
    </font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Arial"/>
      <family val="2"/>
    </font>
    <font>
      <sz val="20"/>
      <color theme="9" tint="-0.499984740745262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  <font>
      <sz val="12"/>
      <color theme="0"/>
      <name val="Arial"/>
      <family val="2"/>
    </font>
    <font>
      <sz val="24"/>
      <color theme="0"/>
      <name val="Arial"/>
      <family val="2"/>
    </font>
    <font>
      <sz val="12"/>
      <color theme="1"/>
      <name val="Arial"/>
      <family val="2"/>
    </font>
    <font>
      <sz val="24"/>
      <color theme="1"/>
      <name val="Arial"/>
      <family val="2"/>
    </font>
    <font>
      <sz val="8"/>
      <name val="Calibri"/>
      <family val="2"/>
    </font>
    <font>
      <b/>
      <sz val="11"/>
      <color theme="2" tint="-0.89999084444715716"/>
      <name val="Calibri"/>
      <family val="2"/>
      <scheme val="minor"/>
    </font>
    <font>
      <sz val="12"/>
      <color theme="7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indexed="22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thin">
        <color indexed="22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indexed="22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indexed="22"/>
      </right>
      <top style="thin">
        <color indexed="64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hair">
        <color theme="1"/>
      </bottom>
      <diagonal/>
    </border>
    <border>
      <left style="thin">
        <color indexed="22"/>
      </left>
      <right style="thin">
        <color theme="1"/>
      </right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1"/>
      </left>
      <right style="thin">
        <color indexed="22"/>
      </right>
      <top style="hair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22"/>
      </left>
      <right/>
      <top style="hair">
        <color theme="1"/>
      </top>
      <bottom/>
      <diagonal/>
    </border>
    <border>
      <left style="thin">
        <color theme="1"/>
      </left>
      <right/>
      <top style="hair">
        <color theme="1"/>
      </top>
      <bottom/>
      <diagonal/>
    </border>
    <border>
      <left style="thin">
        <color indexed="22"/>
      </left>
      <right/>
      <top style="hair">
        <color theme="1"/>
      </top>
      <bottom style="thin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64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2" borderId="0" applyNumberFormat="0" applyBorder="0" applyAlignment="0" applyProtection="0"/>
    <xf numFmtId="0" fontId="6" fillId="0" borderId="0"/>
    <xf numFmtId="0" fontId="5" fillId="4" borderId="0" applyNumberFormat="0" applyBorder="0" applyAlignment="0" applyProtection="0"/>
    <xf numFmtId="0" fontId="5" fillId="0" borderId="0"/>
    <xf numFmtId="0" fontId="16" fillId="0" borderId="0"/>
    <xf numFmtId="0" fontId="24" fillId="0" borderId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27" fillId="6" borderId="0" applyNumberFormat="0" applyBorder="0" applyAlignment="0" applyProtection="0"/>
    <xf numFmtId="0" fontId="29" fillId="0" borderId="0"/>
    <xf numFmtId="0" fontId="27" fillId="7" borderId="0" applyNumberFormat="0" applyBorder="0" applyAlignment="0" applyProtection="0"/>
    <xf numFmtId="43" fontId="8" fillId="0" borderId="0" applyFont="0" applyFill="0" applyBorder="0" applyAlignment="0" applyProtection="0"/>
  </cellStyleXfs>
  <cellXfs count="86">
    <xf numFmtId="0" fontId="0" fillId="0" borderId="0" xfId="0"/>
    <xf numFmtId="0" fontId="7" fillId="0" borderId="0" xfId="0" applyFont="1"/>
    <xf numFmtId="166" fontId="7" fillId="0" borderId="0" xfId="1" applyNumberFormat="1" applyFont="1"/>
    <xf numFmtId="2" fontId="7" fillId="0" borderId="0" xfId="1" applyNumberFormat="1" applyFont="1"/>
    <xf numFmtId="166" fontId="7" fillId="0" borderId="0" xfId="0" applyNumberFormat="1" applyFont="1"/>
    <xf numFmtId="166" fontId="7" fillId="0" borderId="3" xfId="1" applyNumberFormat="1" applyFont="1" applyBorder="1"/>
    <xf numFmtId="166" fontId="13" fillId="0" borderId="3" xfId="4" applyNumberFormat="1" applyFont="1" applyBorder="1"/>
    <xf numFmtId="0" fontId="13" fillId="3" borderId="3" xfId="5" applyFont="1" applyFill="1" applyBorder="1"/>
    <xf numFmtId="0" fontId="13" fillId="3" borderId="3" xfId="5" applyFont="1" applyFill="1" applyBorder="1" applyAlignment="1">
      <alignment horizontal="left" indent="2"/>
    </xf>
    <xf numFmtId="0" fontId="13" fillId="3" borderId="3" xfId="4" applyFont="1" applyFill="1" applyBorder="1" applyAlignment="1">
      <alignment horizontal="right"/>
    </xf>
    <xf numFmtId="0" fontId="13" fillId="3" borderId="3" xfId="5" applyFont="1" applyFill="1" applyBorder="1" applyAlignment="1">
      <alignment horizontal="center"/>
    </xf>
    <xf numFmtId="0" fontId="5" fillId="0" borderId="0" xfId="8"/>
    <xf numFmtId="0" fontId="17" fillId="0" borderId="4" xfId="9" applyFont="1" applyBorder="1" applyAlignment="1">
      <alignment horizontal="right" wrapText="1"/>
    </xf>
    <xf numFmtId="0" fontId="17" fillId="0" borderId="4" xfId="9" applyFont="1" applyBorder="1" applyAlignment="1">
      <alignment wrapText="1"/>
    </xf>
    <xf numFmtId="0" fontId="17" fillId="0" borderId="5" xfId="9" applyFont="1" applyBorder="1" applyAlignment="1">
      <alignment horizontal="center" wrapText="1"/>
    </xf>
    <xf numFmtId="167" fontId="17" fillId="0" borderId="6" xfId="9" applyNumberFormat="1" applyFont="1" applyBorder="1" applyAlignment="1">
      <alignment horizontal="right" wrapText="1"/>
    </xf>
    <xf numFmtId="0" fontId="17" fillId="0" borderId="7" xfId="9" applyFont="1" applyBorder="1" applyAlignment="1">
      <alignment horizontal="right" wrapText="1"/>
    </xf>
    <xf numFmtId="0" fontId="17" fillId="0" borderId="7" xfId="9" applyFont="1" applyBorder="1" applyAlignment="1">
      <alignment wrapText="1"/>
    </xf>
    <xf numFmtId="0" fontId="17" fillId="0" borderId="8" xfId="9" applyFont="1" applyBorder="1" applyAlignment="1">
      <alignment horizontal="center" wrapText="1"/>
    </xf>
    <xf numFmtId="167" fontId="17" fillId="0" borderId="9" xfId="9" applyNumberFormat="1" applyFont="1" applyBorder="1" applyAlignment="1">
      <alignment horizontal="right" wrapText="1"/>
    </xf>
    <xf numFmtId="0" fontId="17" fillId="0" borderId="10" xfId="9" applyFont="1" applyBorder="1" applyAlignment="1">
      <alignment horizontal="right" wrapText="1"/>
    </xf>
    <xf numFmtId="0" fontId="17" fillId="0" borderId="10" xfId="9" applyFont="1" applyBorder="1" applyAlignment="1">
      <alignment wrapText="1"/>
    </xf>
    <xf numFmtId="0" fontId="17" fillId="0" borderId="11" xfId="9" applyFont="1" applyBorder="1" applyAlignment="1">
      <alignment horizontal="center" wrapText="1"/>
    </xf>
    <xf numFmtId="0" fontId="13" fillId="4" borderId="3" xfId="7" applyFont="1" applyBorder="1" applyAlignment="1">
      <alignment horizontal="center"/>
    </xf>
    <xf numFmtId="9" fontId="13" fillId="4" borderId="3" xfId="7" applyNumberFormat="1" applyFont="1" applyBorder="1" applyAlignment="1">
      <alignment horizontal="center"/>
    </xf>
    <xf numFmtId="0" fontId="5" fillId="0" borderId="3" xfId="8" applyBorder="1"/>
    <xf numFmtId="0" fontId="20" fillId="0" borderId="3" xfId="9" applyFont="1" applyBorder="1" applyAlignment="1">
      <alignment wrapText="1"/>
    </xf>
    <xf numFmtId="0" fontId="5" fillId="0" borderId="3" xfId="7" applyFill="1" applyBorder="1" applyAlignment="1">
      <alignment horizontal="center"/>
    </xf>
    <xf numFmtId="14" fontId="5" fillId="0" borderId="3" xfId="8" applyNumberFormat="1" applyBorder="1"/>
    <xf numFmtId="0" fontId="20" fillId="0" borderId="3" xfId="9" applyFont="1" applyBorder="1" applyAlignment="1">
      <alignment horizontal="center" wrapText="1"/>
    </xf>
    <xf numFmtId="166" fontId="17" fillId="0" borderId="10" xfId="9" applyNumberFormat="1" applyFont="1" applyBorder="1" applyAlignment="1">
      <alignment wrapText="1"/>
    </xf>
    <xf numFmtId="166" fontId="5" fillId="0" borderId="10" xfId="8" applyNumberFormat="1" applyBorder="1"/>
    <xf numFmtId="0" fontId="18" fillId="0" borderId="0" xfId="8" applyFont="1" applyAlignment="1">
      <alignment horizontal="centerContinuous" wrapText="1"/>
    </xf>
    <xf numFmtId="0" fontId="5" fillId="0" borderId="0" xfId="8" applyAlignment="1">
      <alignment horizontal="centerContinuous" wrapText="1"/>
    </xf>
    <xf numFmtId="0" fontId="18" fillId="0" borderId="12" xfId="8" applyFont="1" applyBorder="1" applyAlignment="1">
      <alignment horizontal="centerContinuous" wrapText="1"/>
    </xf>
    <xf numFmtId="0" fontId="5" fillId="0" borderId="12" xfId="8" applyBorder="1" applyAlignment="1">
      <alignment horizontal="centerContinuous" wrapText="1"/>
    </xf>
    <xf numFmtId="0" fontId="5" fillId="0" borderId="0" xfId="8" applyAlignment="1">
      <alignment wrapText="1"/>
    </xf>
    <xf numFmtId="0" fontId="25" fillId="0" borderId="0" xfId="0" applyFont="1" applyAlignment="1">
      <alignment horizontal="center"/>
    </xf>
    <xf numFmtId="0" fontId="29" fillId="0" borderId="0" xfId="15"/>
    <xf numFmtId="0" fontId="2" fillId="0" borderId="0" xfId="8" applyFont="1"/>
    <xf numFmtId="0" fontId="2" fillId="0" borderId="0" xfId="0" applyFont="1"/>
    <xf numFmtId="0" fontId="17" fillId="0" borderId="20" xfId="9" applyFont="1" applyBorder="1" applyAlignment="1">
      <alignment horizontal="center" wrapText="1"/>
    </xf>
    <xf numFmtId="0" fontId="17" fillId="0" borderId="21" xfId="9" applyFont="1" applyBorder="1" applyAlignment="1">
      <alignment wrapText="1"/>
    </xf>
    <xf numFmtId="0" fontId="17" fillId="0" borderId="21" xfId="9" applyFont="1" applyBorder="1" applyAlignment="1">
      <alignment horizontal="right" wrapText="1"/>
    </xf>
    <xf numFmtId="167" fontId="17" fillId="0" borderId="21" xfId="9" applyNumberFormat="1" applyFont="1" applyBorder="1" applyAlignment="1">
      <alignment horizontal="right" wrapText="1"/>
    </xf>
    <xf numFmtId="0" fontId="17" fillId="0" borderId="22" xfId="9" applyFont="1" applyBorder="1" applyAlignment="1">
      <alignment horizontal="center" wrapText="1"/>
    </xf>
    <xf numFmtId="0" fontId="17" fillId="0" borderId="23" xfId="9" applyFont="1" applyBorder="1" applyAlignment="1">
      <alignment wrapText="1"/>
    </xf>
    <xf numFmtId="0" fontId="17" fillId="0" borderId="23" xfId="9" applyFont="1" applyBorder="1" applyAlignment="1">
      <alignment horizontal="right" wrapText="1"/>
    </xf>
    <xf numFmtId="167" fontId="17" fillId="0" borderId="23" xfId="9" applyNumberFormat="1" applyFont="1" applyBorder="1" applyAlignment="1">
      <alignment horizontal="right" wrapText="1"/>
    </xf>
    <xf numFmtId="0" fontId="17" fillId="0" borderId="24" xfId="9" applyFont="1" applyBorder="1" applyAlignment="1">
      <alignment horizontal="center" wrapText="1"/>
    </xf>
    <xf numFmtId="0" fontId="17" fillId="0" borderId="25" xfId="9" applyFont="1" applyBorder="1" applyAlignment="1">
      <alignment wrapText="1"/>
    </xf>
    <xf numFmtId="0" fontId="17" fillId="0" borderId="25" xfId="9" applyFont="1" applyBorder="1" applyAlignment="1">
      <alignment horizontal="right" wrapText="1"/>
    </xf>
    <xf numFmtId="167" fontId="17" fillId="0" borderId="25" xfId="9" applyNumberFormat="1" applyFont="1" applyBorder="1" applyAlignment="1">
      <alignment horizontal="right" wrapText="1"/>
    </xf>
    <xf numFmtId="167" fontId="17" fillId="0" borderId="17" xfId="9" applyNumberFormat="1" applyFont="1" applyBorder="1" applyAlignment="1">
      <alignment horizontal="right" wrapText="1"/>
    </xf>
    <xf numFmtId="0" fontId="32" fillId="5" borderId="18" xfId="7" applyFont="1" applyFill="1" applyBorder="1" applyAlignment="1">
      <alignment horizontal="center" wrapText="1"/>
    </xf>
    <xf numFmtId="0" fontId="32" fillId="5" borderId="19" xfId="7" applyFont="1" applyFill="1" applyBorder="1" applyAlignment="1">
      <alignment horizontal="center" wrapText="1"/>
    </xf>
    <xf numFmtId="0" fontId="33" fillId="7" borderId="0" xfId="16" applyFont="1"/>
    <xf numFmtId="164" fontId="5" fillId="0" borderId="3" xfId="8" applyNumberFormat="1" applyBorder="1" applyAlignment="1">
      <alignment wrapText="1"/>
    </xf>
    <xf numFmtId="164" fontId="3" fillId="0" borderId="3" xfId="8" applyNumberFormat="1" applyFont="1" applyBorder="1" applyAlignment="1">
      <alignment wrapText="1"/>
    </xf>
    <xf numFmtId="164" fontId="5" fillId="0" borderId="3" xfId="8" applyNumberFormat="1" applyBorder="1"/>
    <xf numFmtId="164" fontId="5" fillId="0" borderId="0" xfId="8" applyNumberFormat="1"/>
    <xf numFmtId="14" fontId="0" fillId="0" borderId="0" xfId="0" applyNumberFormat="1"/>
    <xf numFmtId="168" fontId="0" fillId="0" borderId="0" xfId="0" applyNumberFormat="1"/>
    <xf numFmtId="0" fontId="11" fillId="9" borderId="0" xfId="0" applyFont="1" applyFill="1"/>
    <xf numFmtId="168" fontId="11" fillId="9" borderId="0" xfId="0" applyNumberFormat="1" applyFont="1" applyFill="1"/>
    <xf numFmtId="0" fontId="26" fillId="8" borderId="13" xfId="0" applyFont="1" applyFill="1" applyBorder="1" applyAlignment="1">
      <alignment horizontal="center"/>
    </xf>
    <xf numFmtId="0" fontId="26" fillId="8" borderId="14" xfId="0" applyFont="1" applyFill="1" applyBorder="1" applyAlignment="1">
      <alignment horizontal="center"/>
    </xf>
    <xf numFmtId="0" fontId="26" fillId="8" borderId="15" xfId="0" applyFont="1" applyFill="1" applyBorder="1" applyAlignment="1">
      <alignment horizontal="center"/>
    </xf>
    <xf numFmtId="0" fontId="5" fillId="0" borderId="0" xfId="8" applyAlignment="1">
      <alignment horizontal="center"/>
    </xf>
    <xf numFmtId="0" fontId="19" fillId="0" borderId="3" xfId="7" applyFont="1" applyFill="1" applyBorder="1" applyAlignment="1">
      <alignment horizontal="center"/>
    </xf>
    <xf numFmtId="0" fontId="21" fillId="0" borderId="3" xfId="8" applyFont="1" applyBorder="1" applyAlignment="1">
      <alignment horizontal="center"/>
    </xf>
    <xf numFmtId="0" fontId="23" fillId="0" borderId="0" xfId="8" applyFont="1" applyAlignment="1">
      <alignment horizontal="center"/>
    </xf>
    <xf numFmtId="0" fontId="22" fillId="0" borderId="0" xfId="8" applyFont="1" applyAlignment="1">
      <alignment horizontal="center"/>
    </xf>
    <xf numFmtId="0" fontId="14" fillId="0" borderId="0" xfId="2" applyFont="1" applyAlignment="1">
      <alignment horizontal="center"/>
    </xf>
    <xf numFmtId="0" fontId="15" fillId="0" borderId="0" xfId="3" applyFont="1" applyBorder="1" applyAlignment="1">
      <alignment horizontal="center"/>
    </xf>
    <xf numFmtId="0" fontId="28" fillId="6" borderId="0" xfId="14" applyFont="1" applyAlignment="1">
      <alignment horizontal="center" vertical="center"/>
    </xf>
    <xf numFmtId="0" fontId="30" fillId="0" borderId="16" xfId="15" applyFont="1" applyBorder="1" applyAlignment="1">
      <alignment horizontal="center"/>
    </xf>
    <xf numFmtId="0" fontId="1" fillId="0" borderId="0" xfId="8" applyFont="1"/>
    <xf numFmtId="0" fontId="1" fillId="0" borderId="0" xfId="0" applyFont="1"/>
    <xf numFmtId="0" fontId="17" fillId="0" borderId="26" xfId="9" applyFont="1" applyBorder="1" applyAlignment="1">
      <alignment horizontal="right" wrapText="1"/>
    </xf>
    <xf numFmtId="166" fontId="17" fillId="0" borderId="26" xfId="9" applyNumberFormat="1" applyFont="1" applyBorder="1" applyAlignment="1">
      <alignment wrapText="1"/>
    </xf>
    <xf numFmtId="166" fontId="5" fillId="0" borderId="26" xfId="8" applyNumberFormat="1" applyBorder="1"/>
    <xf numFmtId="171" fontId="5" fillId="0" borderId="3" xfId="17" applyNumberFormat="1" applyFont="1" applyBorder="1"/>
    <xf numFmtId="171" fontId="5" fillId="0" borderId="3" xfId="8" applyNumberFormat="1" applyBorder="1"/>
    <xf numFmtId="0" fontId="2" fillId="0" borderId="3" xfId="8" applyNumberFormat="1" applyFont="1" applyBorder="1"/>
    <xf numFmtId="0" fontId="5" fillId="0" borderId="3" xfId="8" applyNumberFormat="1" applyBorder="1"/>
  </cellXfs>
  <cellStyles count="18">
    <cellStyle name="40% - Accent1" xfId="7" builtinId="31"/>
    <cellStyle name="60% - Accent1" xfId="5" builtinId="32"/>
    <cellStyle name="Accent1 2" xfId="14" xr:uid="{D44EE951-49D7-4371-B30C-FE164646DE03}"/>
    <cellStyle name="Accent5 2" xfId="16" xr:uid="{4BEB8612-9C4F-4A4A-B4FE-5AE21E668E2C}"/>
    <cellStyle name="Comma" xfId="17" builtinId="3"/>
    <cellStyle name="Comma 2" xfId="11" xr:uid="{00000000-0005-0000-0000-000002000000}"/>
    <cellStyle name="Comma 3" xfId="12" xr:uid="{00000000-0005-0000-0000-000003000000}"/>
    <cellStyle name="Currency" xfId="1" builtinId="4"/>
    <cellStyle name="Heading 1" xfId="3" builtinId="16"/>
    <cellStyle name="Normal" xfId="0" builtinId="0"/>
    <cellStyle name="Normal 2" xfId="6" xr:uid="{00000000-0005-0000-0000-000007000000}"/>
    <cellStyle name="Normal 2 2" xfId="10" xr:uid="{00000000-0005-0000-0000-000008000000}"/>
    <cellStyle name="Normal 3" xfId="8" xr:uid="{00000000-0005-0000-0000-000009000000}"/>
    <cellStyle name="Normal 4" xfId="13" xr:uid="{00000000-0005-0000-0000-00000A000000}"/>
    <cellStyle name="Normal 5" xfId="15" xr:uid="{FDA90246-F919-41C3-BAB8-F7D85CAD5952}"/>
    <cellStyle name="Normal_Sheet1" xfId="9" xr:uid="{00000000-0005-0000-0000-00000B000000}"/>
    <cellStyle name="Title" xfId="2" builtinId="15"/>
    <cellStyle name="Total" xfId="4" builtinId="2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numFmt numFmtId="168" formatCode="_(&quot;$&quot;* #,##0_);_(&quot;$&quot;* \(#,##0\);_(&quot;$&quot;* &quot;-&quot;??_);_(@_)"/>
    </dxf>
    <dxf>
      <numFmt numFmtId="0" formatCode="General"/>
    </dxf>
    <dxf>
      <numFmt numFmtId="16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rgb="FFFFC000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layout>
        <c:manualLayout>
          <c:xMode val="edge"/>
          <c:yMode val="edge"/>
          <c:x val="0.3222985564304461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'Project 5'!$A$5</c:f>
              <c:strCache>
                <c:ptCount val="1"/>
                <c:pt idx="0">
                  <c:v>Lawn Maintenance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E1-47FD-872A-087C02AF6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E1-47FD-872A-087C02AF6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E1-47FD-872A-087C02AF6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3E1-47FD-872A-087C02AF63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3E1-47FD-872A-087C02AF63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3E1-47FD-872A-087C02AF63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3E1-47FD-872A-087C02AF63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5'!$B$4:$H$4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'Project 5'!$B$5:$H$5</c:f>
              <c:numCache>
                <c:formatCode>"$"#,##0.00</c:formatCode>
                <c:ptCount val="7"/>
                <c:pt idx="0">
                  <c:v>7660.125</c:v>
                </c:pt>
                <c:pt idx="1">
                  <c:v>7741.125</c:v>
                </c:pt>
                <c:pt idx="2">
                  <c:v>8123.8</c:v>
                </c:pt>
                <c:pt idx="3">
                  <c:v>4500</c:v>
                </c:pt>
                <c:pt idx="4">
                  <c:v>3250</c:v>
                </c:pt>
                <c:pt idx="5">
                  <c:v>1225.75</c:v>
                </c:pt>
                <c:pt idx="6">
                  <c:v>32500.799999999999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6-44CC-9A59-7F55B8F1DE85}"/>
            </c:ext>
          </c:extLst>
        </c:ser>
        <c:ser>
          <c:idx val="1"/>
          <c:order val="1"/>
          <c:tx>
            <c:strRef>
              <c:f>'Project 5'!$A$6</c:f>
              <c:strCache>
                <c:ptCount val="1"/>
                <c:pt idx="0">
                  <c:v>Trees &amp; Plants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3E1-47FD-872A-087C02AF6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3E1-47FD-872A-087C02AF6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3E1-47FD-872A-087C02AF6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3E1-47FD-872A-087C02AF63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3E1-47FD-872A-087C02AF63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73E1-47FD-872A-087C02AF63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73E1-47FD-872A-087C02AF63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5'!$B$4:$H$4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'Project 5'!$B$6:$H$6</c:f>
              <c:numCache>
                <c:formatCode>"$"#,##0.00</c:formatCode>
                <c:ptCount val="7"/>
                <c:pt idx="0">
                  <c:v>11819.925000000001</c:v>
                </c:pt>
                <c:pt idx="1">
                  <c:v>10456.34</c:v>
                </c:pt>
                <c:pt idx="2">
                  <c:v>12043.125</c:v>
                </c:pt>
                <c:pt idx="3">
                  <c:v>11803.275000000001</c:v>
                </c:pt>
                <c:pt idx="4">
                  <c:v>11879.775000000001</c:v>
                </c:pt>
                <c:pt idx="5">
                  <c:v>12226.275</c:v>
                </c:pt>
                <c:pt idx="6">
                  <c:v>70228.714999999997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6-44CC-9A59-7F55B8F1DE85}"/>
            </c:ext>
          </c:extLst>
        </c:ser>
        <c:ser>
          <c:idx val="2"/>
          <c:order val="2"/>
          <c:tx>
            <c:strRef>
              <c:f>'Project 5'!$A$7</c:f>
              <c:strCache>
                <c:ptCount val="1"/>
                <c:pt idx="0">
                  <c:v>Patio and 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73E1-47FD-872A-087C02AF6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73E1-47FD-872A-087C02AF6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73E1-47FD-872A-087C02AF6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73E1-47FD-872A-087C02AF63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73E1-47FD-872A-087C02AF63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73E1-47FD-872A-087C02AF63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73E1-47FD-872A-087C02AF63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5'!$B$4:$H$4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'Project 5'!$B$7:$H$7</c:f>
              <c:numCache>
                <c:formatCode>"$"#,##0.00</c:formatCode>
                <c:ptCount val="7"/>
                <c:pt idx="0">
                  <c:v>15192.225000000002</c:v>
                </c:pt>
                <c:pt idx="1">
                  <c:v>13070.474999999999</c:v>
                </c:pt>
                <c:pt idx="2">
                  <c:v>12957.300000000001</c:v>
                </c:pt>
                <c:pt idx="3">
                  <c:v>13039.875</c:v>
                </c:pt>
                <c:pt idx="4">
                  <c:v>15318.224999999999</c:v>
                </c:pt>
                <c:pt idx="5">
                  <c:v>16876.125</c:v>
                </c:pt>
                <c:pt idx="6">
                  <c:v>86454.225000000006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96-44CC-9A59-7F55B8F1DE85}"/>
            </c:ext>
          </c:extLst>
        </c:ser>
        <c:ser>
          <c:idx val="3"/>
          <c:order val="3"/>
          <c:tx>
            <c:strRef>
              <c:f>'Project 5'!$A$8</c:f>
              <c:strCache>
                <c:ptCount val="1"/>
                <c:pt idx="0">
                  <c:v>Fountains and Irrigation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73E1-47FD-872A-087C02AF6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73E1-47FD-872A-087C02AF6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73E1-47FD-872A-087C02AF6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73E1-47FD-872A-087C02AF63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73E1-47FD-872A-087C02AF63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73E1-47FD-872A-087C02AF63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73E1-47FD-872A-087C02AF63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5'!$B$4:$H$4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'Project 5'!$B$8:$H$8</c:f>
              <c:numCache>
                <c:formatCode>"$"#,##0.00</c:formatCode>
                <c:ptCount val="7"/>
                <c:pt idx="0">
                  <c:v>4478.1749999999993</c:v>
                </c:pt>
                <c:pt idx="1">
                  <c:v>4708.125</c:v>
                </c:pt>
                <c:pt idx="2">
                  <c:v>4475.25</c:v>
                </c:pt>
                <c:pt idx="3">
                  <c:v>5153.625</c:v>
                </c:pt>
                <c:pt idx="4">
                  <c:v>5514.5249999999996</c:v>
                </c:pt>
                <c:pt idx="5">
                  <c:v>7919.5500000000011</c:v>
                </c:pt>
                <c:pt idx="6">
                  <c:v>32249.25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96-44CC-9A59-7F55B8F1DE85}"/>
            </c:ext>
          </c:extLst>
        </c:ser>
        <c:ser>
          <c:idx val="4"/>
          <c:order val="4"/>
          <c:tx>
            <c:strRef>
              <c:f>'Project 5'!$A$9</c:f>
              <c:strCache>
                <c:ptCount val="1"/>
                <c:pt idx="0">
                  <c:v>Landscape Design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73E1-47FD-872A-087C02AF6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73E1-47FD-872A-087C02AF6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73E1-47FD-872A-087C02AF6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73E1-47FD-872A-087C02AF63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73E1-47FD-872A-087C02AF63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73E1-47FD-872A-087C02AF63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73E1-47FD-872A-087C02AF63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5'!$B$4:$H$4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'Project 5'!$B$9:$H$9</c:f>
              <c:numCache>
                <c:formatCode>"$"#,##0.00</c:formatCode>
                <c:ptCount val="7"/>
                <c:pt idx="0">
                  <c:v>1025</c:v>
                </c:pt>
                <c:pt idx="1">
                  <c:v>1575.35</c:v>
                </c:pt>
                <c:pt idx="2">
                  <c:v>1750</c:v>
                </c:pt>
                <c:pt idx="3">
                  <c:v>1125.45</c:v>
                </c:pt>
                <c:pt idx="4">
                  <c:v>725</c:v>
                </c:pt>
                <c:pt idx="5">
                  <c:v>935.25</c:v>
                </c:pt>
                <c:pt idx="6">
                  <c:v>7136.05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96-44CC-9A59-7F55B8F1DE85}"/>
            </c:ext>
          </c:extLst>
        </c:ser>
        <c:ser>
          <c:idx val="5"/>
          <c:order val="5"/>
          <c:tx>
            <c:strRef>
              <c:f>'Project 5'!$A$10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73E1-47FD-872A-087C02AF6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73E1-47FD-872A-087C02AF6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73E1-47FD-872A-087C02AF6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73E1-47FD-872A-087C02AF63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73E1-47FD-872A-087C02AF63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73E1-47FD-872A-087C02AF63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73E1-47FD-872A-087C02AF63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5'!$B$4:$H$4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Total</c:v>
                </c:pt>
              </c:strCache>
            </c:strRef>
          </c:cat>
          <c:val>
            <c:numRef>
              <c:f>'Project 5'!$B$10:$H$10</c:f>
              <c:numCache>
                <c:formatCode>"$"#,##0.00</c:formatCode>
                <c:ptCount val="7"/>
                <c:pt idx="0">
                  <c:v>40175.450000000012</c:v>
                </c:pt>
                <c:pt idx="1">
                  <c:v>37551.415000000001</c:v>
                </c:pt>
                <c:pt idx="2">
                  <c:v>39349.474999999999</c:v>
                </c:pt>
                <c:pt idx="3">
                  <c:v>35622.224999999999</c:v>
                </c:pt>
                <c:pt idx="4">
                  <c:v>36687.525000000001</c:v>
                </c:pt>
                <c:pt idx="5">
                  <c:v>39182.950000000004</c:v>
                </c:pt>
                <c:pt idx="6">
                  <c:v>228569.03999999998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96-44CC-9A59-7F55B8F1DE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 Quarters 3 and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5'!$B$4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'Project 5'!$A$5:$A$10</c:f>
              <c:strCache>
                <c:ptCount val="6"/>
                <c:pt idx="0">
                  <c:v>Lawn Maintenance</c:v>
                </c:pt>
                <c:pt idx="1">
                  <c:v>Trees &amp; Plants</c:v>
                </c:pt>
                <c:pt idx="2">
                  <c:v>Patio and Furniture</c:v>
                </c:pt>
                <c:pt idx="3">
                  <c:v>Fountains and Irrigation</c:v>
                </c:pt>
                <c:pt idx="4">
                  <c:v>Landscape Design</c:v>
                </c:pt>
                <c:pt idx="5">
                  <c:v>Total Revenue</c:v>
                </c:pt>
              </c:strCache>
            </c:strRef>
          </c:cat>
          <c:val>
            <c:numRef>
              <c:f>'Project 5'!$B$5:$B$10</c:f>
              <c:numCache>
                <c:formatCode>"$"#,##0.00</c:formatCode>
                <c:ptCount val="6"/>
                <c:pt idx="0">
                  <c:v>7660.125</c:v>
                </c:pt>
                <c:pt idx="1">
                  <c:v>11819.925000000001</c:v>
                </c:pt>
                <c:pt idx="2">
                  <c:v>15192.225000000002</c:v>
                </c:pt>
                <c:pt idx="3">
                  <c:v>4478.1749999999993</c:v>
                </c:pt>
                <c:pt idx="4">
                  <c:v>1025</c:v>
                </c:pt>
                <c:pt idx="5">
                  <c:v>40175.450000000012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B-4538-8449-4A26C8512E82}"/>
            </c:ext>
          </c:extLst>
        </c:ser>
        <c:ser>
          <c:idx val="1"/>
          <c:order val="1"/>
          <c:tx>
            <c:strRef>
              <c:f>'Project 5'!$C$4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'Project 5'!$A$5:$A$10</c:f>
              <c:strCache>
                <c:ptCount val="6"/>
                <c:pt idx="0">
                  <c:v>Lawn Maintenance</c:v>
                </c:pt>
                <c:pt idx="1">
                  <c:v>Trees &amp; Plants</c:v>
                </c:pt>
                <c:pt idx="2">
                  <c:v>Patio and Furniture</c:v>
                </c:pt>
                <c:pt idx="3">
                  <c:v>Fountains and Irrigation</c:v>
                </c:pt>
                <c:pt idx="4">
                  <c:v>Landscape Design</c:v>
                </c:pt>
                <c:pt idx="5">
                  <c:v>Total Revenue</c:v>
                </c:pt>
              </c:strCache>
            </c:strRef>
          </c:cat>
          <c:val>
            <c:numRef>
              <c:f>'Project 5'!$C$5:$C$10</c:f>
              <c:numCache>
                <c:formatCode>"$"#,##0.00</c:formatCode>
                <c:ptCount val="6"/>
                <c:pt idx="0">
                  <c:v>7741.125</c:v>
                </c:pt>
                <c:pt idx="1">
                  <c:v>10456.34</c:v>
                </c:pt>
                <c:pt idx="2">
                  <c:v>13070.474999999999</c:v>
                </c:pt>
                <c:pt idx="3">
                  <c:v>4708.125</c:v>
                </c:pt>
                <c:pt idx="4">
                  <c:v>1575.35</c:v>
                </c:pt>
                <c:pt idx="5">
                  <c:v>37551.415000000001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B-4538-8449-4A26C8512E82}"/>
            </c:ext>
          </c:extLst>
        </c:ser>
        <c:ser>
          <c:idx val="2"/>
          <c:order val="2"/>
          <c:tx>
            <c:strRef>
              <c:f>'Project 5'!$D$4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'Project 5'!$A$5:$A$10</c:f>
              <c:strCache>
                <c:ptCount val="6"/>
                <c:pt idx="0">
                  <c:v>Lawn Maintenance</c:v>
                </c:pt>
                <c:pt idx="1">
                  <c:v>Trees &amp; Plants</c:v>
                </c:pt>
                <c:pt idx="2">
                  <c:v>Patio and Furniture</c:v>
                </c:pt>
                <c:pt idx="3">
                  <c:v>Fountains and Irrigation</c:v>
                </c:pt>
                <c:pt idx="4">
                  <c:v>Landscape Design</c:v>
                </c:pt>
                <c:pt idx="5">
                  <c:v>Total Revenue</c:v>
                </c:pt>
              </c:strCache>
            </c:strRef>
          </c:cat>
          <c:val>
            <c:numRef>
              <c:f>'Project 5'!$D$5:$D$10</c:f>
              <c:numCache>
                <c:formatCode>"$"#,##0.00</c:formatCode>
                <c:ptCount val="6"/>
                <c:pt idx="0">
                  <c:v>8123.8</c:v>
                </c:pt>
                <c:pt idx="1">
                  <c:v>12043.125</c:v>
                </c:pt>
                <c:pt idx="2">
                  <c:v>12957.300000000001</c:v>
                </c:pt>
                <c:pt idx="3">
                  <c:v>4475.25</c:v>
                </c:pt>
                <c:pt idx="4">
                  <c:v>1750</c:v>
                </c:pt>
                <c:pt idx="5">
                  <c:v>39349.474999999999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B-4538-8449-4A26C8512E82}"/>
            </c:ext>
          </c:extLst>
        </c:ser>
        <c:ser>
          <c:idx val="3"/>
          <c:order val="3"/>
          <c:tx>
            <c:strRef>
              <c:f>'Project 5'!$E$4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'Project 5'!$A$5:$A$10</c:f>
              <c:strCache>
                <c:ptCount val="6"/>
                <c:pt idx="0">
                  <c:v>Lawn Maintenance</c:v>
                </c:pt>
                <c:pt idx="1">
                  <c:v>Trees &amp; Plants</c:v>
                </c:pt>
                <c:pt idx="2">
                  <c:v>Patio and Furniture</c:v>
                </c:pt>
                <c:pt idx="3">
                  <c:v>Fountains and Irrigation</c:v>
                </c:pt>
                <c:pt idx="4">
                  <c:v>Landscape Design</c:v>
                </c:pt>
                <c:pt idx="5">
                  <c:v>Total Revenue</c:v>
                </c:pt>
              </c:strCache>
            </c:strRef>
          </c:cat>
          <c:val>
            <c:numRef>
              <c:f>'Project 5'!$E$5:$E$10</c:f>
              <c:numCache>
                <c:formatCode>"$"#,##0.00</c:formatCode>
                <c:ptCount val="6"/>
                <c:pt idx="0">
                  <c:v>4500</c:v>
                </c:pt>
                <c:pt idx="1">
                  <c:v>11803.275000000001</c:v>
                </c:pt>
                <c:pt idx="2">
                  <c:v>13039.875</c:v>
                </c:pt>
                <c:pt idx="3">
                  <c:v>5153.625</c:v>
                </c:pt>
                <c:pt idx="4">
                  <c:v>1125.45</c:v>
                </c:pt>
                <c:pt idx="5">
                  <c:v>35622.224999999999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3B-4538-8449-4A26C8512E82}"/>
            </c:ext>
          </c:extLst>
        </c:ser>
        <c:ser>
          <c:idx val="4"/>
          <c:order val="4"/>
          <c:tx>
            <c:strRef>
              <c:f>'Project 5'!$F$4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'Project 5'!$A$5:$A$10</c:f>
              <c:strCache>
                <c:ptCount val="6"/>
                <c:pt idx="0">
                  <c:v>Lawn Maintenance</c:v>
                </c:pt>
                <c:pt idx="1">
                  <c:v>Trees &amp; Plants</c:v>
                </c:pt>
                <c:pt idx="2">
                  <c:v>Patio and Furniture</c:v>
                </c:pt>
                <c:pt idx="3">
                  <c:v>Fountains and Irrigation</c:v>
                </c:pt>
                <c:pt idx="4">
                  <c:v>Landscape Design</c:v>
                </c:pt>
                <c:pt idx="5">
                  <c:v>Total Revenue</c:v>
                </c:pt>
              </c:strCache>
            </c:strRef>
          </c:cat>
          <c:val>
            <c:numRef>
              <c:f>'Project 5'!$F$5:$F$10</c:f>
              <c:numCache>
                <c:formatCode>"$"#,##0.00</c:formatCode>
                <c:ptCount val="6"/>
                <c:pt idx="0">
                  <c:v>3250</c:v>
                </c:pt>
                <c:pt idx="1">
                  <c:v>11879.775000000001</c:v>
                </c:pt>
                <c:pt idx="2">
                  <c:v>15318.224999999999</c:v>
                </c:pt>
                <c:pt idx="3">
                  <c:v>5514.5249999999996</c:v>
                </c:pt>
                <c:pt idx="4">
                  <c:v>725</c:v>
                </c:pt>
                <c:pt idx="5">
                  <c:v>36687.525000000001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3B-4538-8449-4A26C8512E82}"/>
            </c:ext>
          </c:extLst>
        </c:ser>
        <c:ser>
          <c:idx val="5"/>
          <c:order val="5"/>
          <c:tx>
            <c:strRef>
              <c:f>'Project 5'!$G$4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'Project 5'!$A$5:$A$10</c:f>
              <c:strCache>
                <c:ptCount val="6"/>
                <c:pt idx="0">
                  <c:v>Lawn Maintenance</c:v>
                </c:pt>
                <c:pt idx="1">
                  <c:v>Trees &amp; Plants</c:v>
                </c:pt>
                <c:pt idx="2">
                  <c:v>Patio and Furniture</c:v>
                </c:pt>
                <c:pt idx="3">
                  <c:v>Fountains and Irrigation</c:v>
                </c:pt>
                <c:pt idx="4">
                  <c:v>Landscape Design</c:v>
                </c:pt>
                <c:pt idx="5">
                  <c:v>Total Revenue</c:v>
                </c:pt>
              </c:strCache>
            </c:strRef>
          </c:cat>
          <c:val>
            <c:numRef>
              <c:f>'Project 5'!$G$5:$G$10</c:f>
              <c:numCache>
                <c:formatCode>"$"#,##0.00</c:formatCode>
                <c:ptCount val="6"/>
                <c:pt idx="0">
                  <c:v>1225.75</c:v>
                </c:pt>
                <c:pt idx="1">
                  <c:v>12226.275</c:v>
                </c:pt>
                <c:pt idx="2">
                  <c:v>16876.125</c:v>
                </c:pt>
                <c:pt idx="3">
                  <c:v>7919.5500000000011</c:v>
                </c:pt>
                <c:pt idx="4">
                  <c:v>935.25</c:v>
                </c:pt>
                <c:pt idx="5">
                  <c:v>39182.950000000004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3B-4538-8449-4A26C8512E8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474254816"/>
        <c:axId val="1474231776"/>
      </c:barChart>
      <c:catAx>
        <c:axId val="14742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31776"/>
        <c:crosses val="autoZero"/>
        <c:auto val="1"/>
        <c:lblAlgn val="ctr"/>
        <c:lblOffset val="100"/>
        <c:noMultiLvlLbl val="0"/>
      </c:catAx>
      <c:valAx>
        <c:axId val="1474231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47425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1C9810-D24D-4B38-AEBF-0D9FA1310DE0}">
  <sheetPr>
    <tabColor theme="5"/>
  </sheetPr>
  <sheetViews>
    <sheetView zoomScale="69" workbookViewId="0" zoomToFit="1"/>
  </sheetViews>
  <pageMargins left="0.7" right="0.7" top="0.75" bottom="0.75" header="0.3" footer="0.3"/>
  <pageSetup orientation="landscape" r:id="rId1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2</xdr:row>
      <xdr:rowOff>133350</xdr:rowOff>
    </xdr:from>
    <xdr:to>
      <xdr:col>10</xdr:col>
      <xdr:colOff>457200</xdr:colOff>
      <xdr:row>20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7175" y="676275"/>
          <a:ext cx="6296025" cy="33813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u="sng"/>
            <a:t>Instructions</a:t>
          </a:r>
        </a:p>
        <a:p>
          <a:endParaRPr lang="en-US" sz="1100"/>
        </a:p>
        <a:p>
          <a:endParaRPr lang="en-US" sz="1400" baseline="0"/>
        </a:p>
        <a:p>
          <a:r>
            <a:rPr lang="en-US" sz="1400" b="1" baseline="0"/>
            <a:t>STEP 1: </a:t>
          </a:r>
          <a:r>
            <a:rPr lang="en-US" sz="1400" b="0" baseline="0"/>
            <a:t>Save the workbook now as your &lt;</a:t>
          </a:r>
          <a:r>
            <a:rPr lang="en-US" sz="1400" b="0" i="1" baseline="0"/>
            <a:t>last name&gt; &lt;first name&gt; Practice Exam 1</a:t>
          </a:r>
          <a:r>
            <a:rPr lang="en-US" sz="1400" b="0" baseline="0"/>
            <a:t>.  If your name is John Smith, save the workbook as </a:t>
          </a:r>
          <a:r>
            <a:rPr lang="en-US" sz="1400" b="0" i="1" baseline="0"/>
            <a:t>Smith John Practice Exam 1</a:t>
          </a:r>
          <a:r>
            <a:rPr lang="en-US" sz="1400" b="0" baseline="0"/>
            <a:t>.</a:t>
          </a:r>
        </a:p>
        <a:p>
          <a:endParaRPr lang="en-US" sz="1400" baseline="0"/>
        </a:p>
        <a:p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2: </a:t>
          </a:r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Every sheet in the workbook has a text box similiar to this containing all the instructions for that worksheet.  Each worksheet is independant of the other worksheets and can be completed in any order; however, it is recommended to move left to right starting with </a:t>
          </a:r>
          <a:r>
            <a:rPr lang="en-U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Project 1</a:t>
          </a:r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and ending with </a:t>
          </a:r>
          <a:r>
            <a:rPr lang="en-U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Project 7</a:t>
          </a:r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.  </a:t>
          </a:r>
        </a:p>
        <a:p>
          <a:endParaRPr lang="en-US" sz="1400" b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If the instruction text box should shrink in size; simply select it and make it larger.  You can also get the four directional pointer to move the text box.</a:t>
          </a:r>
        </a:p>
        <a:p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Words in bold italics are exact wording to look for or exact text to type.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123825</xdr:rowOff>
    </xdr:from>
    <xdr:to>
      <xdr:col>12</xdr:col>
      <xdr:colOff>409575</xdr:colOff>
      <xdr:row>34</xdr:row>
      <xdr:rowOff>19050</xdr:rowOff>
    </xdr:to>
    <xdr:sp macro="" textlink="">
      <xdr:nvSpPr>
        <xdr:cNvPr id="2" name="Instruction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743325"/>
          <a:ext cx="7305675" cy="27527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Merge and center A1:F1.  Select the text in row 1, make it bold and 18 point.  </a:t>
          </a:r>
          <a:r>
            <a:rPr lang="en-US" sz="1400"/>
            <a:t> Autofit the text.</a:t>
          </a:r>
        </a:p>
        <a:p>
          <a:r>
            <a:rPr lang="en-US" sz="1400"/>
            <a:t>2. Merge and center  A2:F2. Select</a:t>
          </a:r>
          <a:r>
            <a:rPr lang="en-US" sz="1400" baseline="0"/>
            <a:t> the text in row 2, make it bold and italic.</a:t>
          </a:r>
        </a:p>
        <a:p>
          <a:r>
            <a:rPr lang="en-US" sz="1400" baseline="0"/>
            <a:t>3. Complete the week headings across row 3.  Autofit the cell widths.</a:t>
          </a:r>
        </a:p>
        <a:p>
          <a:r>
            <a:rPr lang="en-US" sz="1400" baseline="0"/>
            <a:t>4. Make the table an Excel table. Do not include row 1 and 2. Name the table </a:t>
          </a:r>
          <a:r>
            <a:rPr lang="en-US" sz="1400" b="1" i="1" baseline="0"/>
            <a:t>January_Sales</a:t>
          </a:r>
          <a:r>
            <a:rPr lang="en-US" sz="1400" baseline="0"/>
            <a:t>.</a:t>
          </a:r>
        </a:p>
        <a:p>
          <a:r>
            <a:rPr lang="en-US" sz="1400" baseline="0"/>
            <a:t>5. Apply the </a:t>
          </a:r>
          <a:r>
            <a:rPr lang="en-US" sz="1400" b="1" i="1" baseline="0"/>
            <a:t>White,</a:t>
          </a:r>
          <a:r>
            <a:rPr lang="en-US" sz="1400" baseline="0"/>
            <a:t> </a:t>
          </a:r>
          <a:r>
            <a:rPr lang="en-US" sz="1400" b="1" i="1" baseline="0"/>
            <a:t>Table Style Light 1 </a:t>
          </a:r>
          <a:r>
            <a:rPr lang="en-US" sz="1400" baseline="0"/>
            <a:t>style.</a:t>
          </a:r>
        </a:p>
        <a:p>
          <a:r>
            <a:rPr lang="en-US" sz="1400" baseline="0"/>
            <a:t>6. Remove the </a:t>
          </a:r>
          <a:r>
            <a:rPr lang="en-US" sz="1400" b="1" i="1" baseline="0"/>
            <a:t>Total</a:t>
          </a:r>
          <a:r>
            <a:rPr lang="en-US" sz="1400" baseline="0"/>
            <a:t> row.  Add an Excel Table </a:t>
          </a:r>
          <a:r>
            <a:rPr lang="en-US" sz="1400" b="1" i="1" baseline="0"/>
            <a:t>Total Row </a:t>
          </a:r>
          <a:r>
            <a:rPr lang="en-US" sz="1400" baseline="0"/>
            <a:t>to the table. </a:t>
          </a:r>
        </a:p>
        <a:p>
          <a:r>
            <a:rPr lang="en-US" sz="1400" baseline="0"/>
            <a:t>7. Sort the table ascending (A to Z) by </a:t>
          </a:r>
          <a:r>
            <a:rPr lang="en-US" sz="1400" b="1" i="1" baseline="0"/>
            <a:t>Departmant</a:t>
          </a:r>
          <a:r>
            <a:rPr lang="en-US" sz="1400" baseline="0"/>
            <a:t>.  </a:t>
          </a:r>
        </a:p>
        <a:p>
          <a:r>
            <a:rPr lang="en-US" sz="1400" baseline="0"/>
            <a:t>8. Calculate the total for each department.</a:t>
          </a:r>
        </a:p>
        <a:p>
          <a:r>
            <a:rPr lang="en-US" sz="1400" baseline="0"/>
            <a:t>9. In the </a:t>
          </a:r>
          <a:r>
            <a:rPr lang="en-US" sz="1400" b="1" i="1" baseline="0"/>
            <a:t>Total</a:t>
          </a:r>
          <a:r>
            <a:rPr lang="en-US" sz="1400" baseline="0"/>
            <a:t> row, find the average sales for </a:t>
          </a:r>
          <a:r>
            <a:rPr lang="en-US" sz="1400" b="1" i="1" baseline="0"/>
            <a:t>Week 1</a:t>
          </a:r>
          <a:r>
            <a:rPr lang="en-US" sz="1400" baseline="0"/>
            <a:t>; the lowest sale for </a:t>
          </a:r>
          <a:r>
            <a:rPr lang="en-US" sz="1400" b="1" i="1" baseline="0"/>
            <a:t>Week 2</a:t>
          </a:r>
          <a:r>
            <a:rPr lang="en-US" sz="1400" baseline="0"/>
            <a:t>; the highest sales for </a:t>
          </a:r>
          <a:r>
            <a:rPr lang="en-US" sz="1400" b="1" i="1" baseline="0"/>
            <a:t>Week 3</a:t>
          </a:r>
          <a:r>
            <a:rPr lang="en-US" sz="1400" baseline="0"/>
            <a:t>;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median for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4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</a:t>
          </a:r>
          <a:r>
            <a:rPr lang="en-US" sz="1400" baseline="0"/>
            <a:t>and the total sales for the </a:t>
          </a:r>
          <a:r>
            <a:rPr lang="en-US" sz="1400" b="1" i="1" baseline="0"/>
            <a:t>Total</a:t>
          </a:r>
          <a:r>
            <a:rPr lang="en-US" sz="1400" baseline="0"/>
            <a:t> column.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2</xdr:row>
      <xdr:rowOff>123825</xdr:rowOff>
    </xdr:from>
    <xdr:to>
      <xdr:col>20</xdr:col>
      <xdr:colOff>476250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877050" y="857250"/>
          <a:ext cx="6867525" cy="3305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r>
            <a:rPr lang="en-US" sz="1400"/>
            <a:t>1. Convert the table (</a:t>
          </a:r>
          <a:r>
            <a:rPr lang="en-US" sz="1400" b="1" i="1"/>
            <a:t>Table</a:t>
          </a:r>
          <a:r>
            <a:rPr lang="en-US" sz="1400" b="1" i="1" baseline="0"/>
            <a:t>1</a:t>
          </a:r>
          <a:r>
            <a:rPr lang="en-US" sz="1400" baseline="0"/>
            <a:t>) back to a cell range (</a:t>
          </a:r>
          <a:r>
            <a:rPr lang="en-US" sz="1400" b="1" i="1" baseline="0"/>
            <a:t>normal range</a:t>
          </a:r>
          <a:r>
            <a:rPr lang="en-US" sz="1400" baseline="0"/>
            <a:t>).</a:t>
          </a:r>
        </a:p>
        <a:p>
          <a:r>
            <a:rPr lang="en-US" sz="1400" baseline="0"/>
            <a:t>2. Wrap the text in the headings in row 4.</a:t>
          </a:r>
        </a:p>
        <a:p>
          <a:r>
            <a:rPr lang="en-US" sz="1400" baseline="0"/>
            <a:t>3. Change the height and width of the columns in row 4 to fit the data below the headings.</a:t>
          </a:r>
        </a:p>
        <a:p>
          <a:r>
            <a:rPr lang="en-US" sz="1400" baseline="0"/>
            <a:t>2. Fill in the </a:t>
          </a:r>
          <a:r>
            <a:rPr lang="en-US" sz="1400" b="1" i="1" baseline="0"/>
            <a:t>Galley with Stove </a:t>
          </a:r>
          <a:r>
            <a:rPr lang="en-US" sz="1400" baseline="0"/>
            <a:t>column by using a </a:t>
          </a:r>
          <a:r>
            <a:rPr lang="en-US" sz="1400" i="0" baseline="0"/>
            <a:t>function that will:</a:t>
          </a:r>
        </a:p>
        <a:p>
          <a:r>
            <a:rPr lang="en-US" sz="1400" i="0" baseline="0"/>
            <a:t>	p</a:t>
          </a:r>
          <a:r>
            <a:rPr lang="en-US" sz="1400" baseline="0"/>
            <a:t>ut </a:t>
          </a:r>
          <a:r>
            <a:rPr lang="en-US" sz="1400" b="1" i="1" baseline="0"/>
            <a:t>YES</a:t>
          </a:r>
          <a:r>
            <a:rPr lang="en-US" sz="1400" baseline="0"/>
            <a:t> if the boat seats more than 8 people, </a:t>
          </a:r>
        </a:p>
        <a:p>
          <a:r>
            <a:rPr lang="en-US" sz="1400" baseline="0"/>
            <a:t>	put </a:t>
          </a:r>
          <a:r>
            <a:rPr lang="en-US" sz="1400" b="1" i="1" baseline="0"/>
            <a:t>NO </a:t>
          </a:r>
          <a:r>
            <a:rPr lang="en-US" sz="1400" b="0" i="0" baseline="0"/>
            <a:t>if the boat seats 8 or less people,</a:t>
          </a:r>
          <a:endParaRPr lang="en-US" sz="1400" b="1" i="1" baseline="0"/>
        </a:p>
        <a:p>
          <a:r>
            <a:rPr lang="en-US" sz="1400" b="1" i="1" baseline="0"/>
            <a:t>	</a:t>
          </a:r>
          <a:r>
            <a:rPr lang="en-US" sz="1400" b="0" i="0" baseline="0"/>
            <a:t>Autofill without formatting.</a:t>
          </a:r>
        </a:p>
        <a:p>
          <a:r>
            <a:rPr lang="en-US" sz="1400" b="0" i="0" baseline="0"/>
            <a:t>3. Create a header for this work sheet that has:</a:t>
          </a:r>
        </a:p>
        <a:p>
          <a:r>
            <a:rPr lang="en-US" sz="1400" b="0" i="0" baseline="0"/>
            <a:t>	your name in the left section,</a:t>
          </a:r>
        </a:p>
        <a:p>
          <a:r>
            <a:rPr lang="en-US" sz="1400" b="0" i="0" baseline="0"/>
            <a:t>	page numbers in the right section.</a:t>
          </a:r>
        </a:p>
        <a:p>
          <a:r>
            <a:rPr lang="en-US" sz="1400" b="0" i="0" baseline="0"/>
            <a:t>4. Add alternative text to the sailboat image that reads</a:t>
          </a:r>
          <a:r>
            <a:rPr lang="en-US" sz="1400" b="1" i="1" baseline="0"/>
            <a:t> Sailboat Rental and Charter Fleet</a:t>
          </a:r>
          <a:r>
            <a:rPr lang="en-US" sz="1400" b="0" i="0" baseline="0"/>
            <a:t>.</a:t>
          </a:r>
        </a:p>
        <a:p>
          <a:r>
            <a:rPr lang="en-US" sz="1400" b="0" i="0" baseline="0"/>
            <a:t>5. Close the Alt Text window.</a:t>
          </a:r>
          <a:endParaRPr lang="en-US" sz="1400" b="0" i="0"/>
        </a:p>
      </xdr:txBody>
    </xdr:sp>
    <xdr:clientData/>
  </xdr:twoCellAnchor>
  <xdr:twoCellAnchor editAs="oneCell">
    <xdr:from>
      <xdr:col>0</xdr:col>
      <xdr:colOff>457200</xdr:colOff>
      <xdr:row>0</xdr:row>
      <xdr:rowOff>0</xdr:rowOff>
    </xdr:from>
    <xdr:to>
      <xdr:col>2</xdr:col>
      <xdr:colOff>19049</xdr:colOff>
      <xdr:row>1</xdr:row>
      <xdr:rowOff>342900</xdr:rowOff>
    </xdr:to>
    <xdr:pic>
      <xdr:nvPicPr>
        <xdr:cNvPr id="3" name="Picture 2" descr="Sailboat Rental and Charter Fleet">
          <a:extLst>
            <a:ext uri="{FF2B5EF4-FFF2-40B4-BE49-F238E27FC236}">
              <a16:creationId xmlns:a16="http://schemas.microsoft.com/office/drawing/2014/main" id="{00000000-0008-0000-0200-00000300000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0"/>
          <a:ext cx="704849" cy="704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157247</xdr:colOff>
      <xdr:row>2</xdr:row>
      <xdr:rowOff>90406</xdr:rowOff>
    </xdr:from>
    <xdr:to>
      <xdr:col>17</xdr:col>
      <xdr:colOff>258178</xdr:colOff>
      <xdr:row>14</xdr:row>
      <xdr:rowOff>135857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774615" y="4435143"/>
          <a:ext cx="5515142" cy="271913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r>
            <a:rPr lang="en-US" sz="1400"/>
            <a:t>San Diego Sailing is thinking of increasing its fees by 5% or 10% .</a:t>
          </a:r>
          <a:r>
            <a:rPr lang="en-US" sz="1400" baseline="0"/>
            <a:t>  Fill in the table calculating the new rates.  Exising rate: is found on the </a:t>
          </a:r>
          <a:r>
            <a:rPr lang="en-US" sz="1400" i="1" baseline="0"/>
            <a:t>Project 2</a:t>
          </a:r>
          <a:r>
            <a:rPr lang="en-US" sz="1400" baseline="0"/>
            <a:t> worksheet (</a:t>
          </a:r>
          <a:r>
            <a:rPr lang="en-US" sz="1400" b="1" i="1" baseline="0"/>
            <a:t>Half-Day Rate </a:t>
          </a:r>
          <a:r>
            <a:rPr lang="en-US" sz="1400" baseline="0"/>
            <a:t>and </a:t>
          </a:r>
          <a:r>
            <a:rPr lang="en-US" sz="1400" b="1" i="1" baseline="0"/>
            <a:t>Full Day Rate</a:t>
          </a:r>
          <a:r>
            <a:rPr lang="en-US" sz="1400" baseline="0"/>
            <a:t>).</a:t>
          </a:r>
        </a:p>
        <a:p>
          <a:endParaRPr lang="en-US" sz="1400" baseline="0"/>
        </a:p>
        <a:p>
          <a:r>
            <a:rPr lang="en-US" sz="1400" baseline="0"/>
            <a:t>1. Calculate the new rates.</a:t>
          </a:r>
        </a:p>
        <a:p>
          <a:r>
            <a:rPr lang="en-US" sz="1400" baseline="0"/>
            <a:t>     a. Use mixed cell references only.</a:t>
          </a:r>
        </a:p>
        <a:p>
          <a:r>
            <a:rPr lang="en-US" sz="1400" baseline="0"/>
            <a:t>     b. Fill without formatting.</a:t>
          </a:r>
        </a:p>
        <a:p>
          <a:r>
            <a:rPr lang="en-US" sz="1400" baseline="0"/>
            <a:t>4. Select A1:G2 and center across the selection for the horizontal alignment.</a:t>
          </a:r>
        </a:p>
        <a:p>
          <a:r>
            <a:rPr lang="en-US" sz="1400" baseline="0"/>
            <a:t>5. Using the format painter, copy the format of cell A1 on the </a:t>
          </a:r>
          <a:r>
            <a:rPr lang="en-US" sz="1400" i="1" baseline="0"/>
            <a:t>Project 2</a:t>
          </a:r>
          <a:r>
            <a:rPr lang="en-US" sz="1400" baseline="0"/>
            <a:t> sheet and apply it to cells A1:A2 on this sheet.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247648</xdr:colOff>
      <xdr:row>3</xdr:row>
      <xdr:rowOff>381001</xdr:rowOff>
    </xdr:from>
    <xdr:to>
      <xdr:col>16</xdr:col>
      <xdr:colOff>371474</xdr:colOff>
      <xdr:row>17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162548" y="1143001"/>
          <a:ext cx="7029451" cy="26669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r>
            <a:rPr lang="en-US" sz="1400"/>
            <a:t>1. Calculate the </a:t>
          </a:r>
          <a:r>
            <a:rPr lang="en-US" sz="1400" b="1" i="1"/>
            <a:t>Fees per Passenger</a:t>
          </a:r>
          <a:r>
            <a:rPr lang="en-US" sz="1400"/>
            <a:t>, then set it to </a:t>
          </a:r>
          <a:r>
            <a:rPr lang="en-US" sz="1400" b="1" i="1"/>
            <a:t>Comma</a:t>
          </a:r>
          <a:r>
            <a:rPr lang="en-US" sz="1400"/>
            <a:t> style .</a:t>
          </a:r>
        </a:p>
        <a:p>
          <a:r>
            <a:rPr lang="en-US" sz="1400"/>
            <a:t>2. In cells D27:D30,</a:t>
          </a:r>
          <a:r>
            <a:rPr lang="en-US" sz="1400" baseline="0"/>
            <a:t> c</a:t>
          </a:r>
          <a:r>
            <a:rPr lang="en-US" sz="1400"/>
            <a:t>ount the number of bookings by type using the </a:t>
          </a:r>
          <a:r>
            <a:rPr lang="en-US" sz="1400" b="1" i="1"/>
            <a:t>COUNTIF</a:t>
          </a:r>
          <a:r>
            <a:rPr lang="en-US" sz="1400"/>
            <a:t> function.</a:t>
          </a:r>
        </a:p>
        <a:p>
          <a:r>
            <a:rPr lang="en-US" sz="1400"/>
            <a:t>       Hint: Use</a:t>
          </a:r>
          <a:r>
            <a:rPr lang="en-US" sz="1400" baseline="0"/>
            <a:t> "ben*" to get all of the Beneteau boat models.</a:t>
          </a:r>
        </a:p>
        <a:p>
          <a:r>
            <a:rPr lang="en-US" sz="1400" baseline="0"/>
            <a:t>3. Use the </a:t>
          </a:r>
          <a:r>
            <a:rPr lang="en-US" sz="1400" b="1" i="1" baseline="0"/>
            <a:t>SUMIF</a:t>
          </a:r>
          <a:r>
            <a:rPr lang="en-US" sz="1400" baseline="0"/>
            <a:t> function to calculate the </a:t>
          </a:r>
          <a:r>
            <a:rPr lang="en-US" sz="1400" i="1" baseline="0"/>
            <a:t>Total Fees </a:t>
          </a:r>
          <a:r>
            <a:rPr lang="en-US" sz="1400" baseline="0"/>
            <a:t>for each boat type in cells E27:E30. </a:t>
          </a:r>
        </a:p>
        <a:p>
          <a:r>
            <a:rPr lang="en-US" sz="1400" baseline="0"/>
            <a:t>       Note: this is not Revenue per Passenger.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Format all dollar amounts using the Accounting Number Format.</a:t>
          </a:r>
          <a:endParaRPr lang="en-US" sz="1400">
            <a:effectLst/>
          </a:endParaRPr>
        </a:p>
        <a:p>
          <a:endParaRPr lang="en-US" sz="1400" baseline="0"/>
        </a:p>
        <a:p>
          <a:r>
            <a:rPr lang="en-US" sz="1400" b="1" baseline="0"/>
            <a:t>Note: The certification exam will have it worded this way:</a:t>
          </a:r>
        </a:p>
        <a:p>
          <a:r>
            <a:rPr lang="en-US" sz="1400" baseline="0"/>
            <a:t>2. In cell D27:D30,using a function, count the number of bookings by the boat type to the left.</a:t>
          </a:r>
        </a:p>
        <a:p>
          <a:r>
            <a:rPr lang="en-US" sz="1400"/>
            <a:t>3. Calculate the Total Revenue for each boat type in cells E27:E30 using a function.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657224</xdr:colOff>
      <xdr:row>11</xdr:row>
      <xdr:rowOff>66676</xdr:rowOff>
    </xdr:from>
    <xdr:to>
      <xdr:col>18</xdr:col>
      <xdr:colOff>390524</xdr:colOff>
      <xdr:row>33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057774" y="2686051"/>
          <a:ext cx="8677275" cy="41528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r>
            <a:rPr lang="en-US" sz="1400"/>
            <a:t>1. Create a pie chart based on the </a:t>
          </a:r>
          <a:r>
            <a:rPr lang="en-US" sz="1400" b="1" i="1"/>
            <a:t>Total Revenue</a:t>
          </a:r>
          <a:r>
            <a:rPr lang="en-US" sz="1400" b="1" i="1" baseline="0"/>
            <a:t> </a:t>
          </a:r>
          <a:r>
            <a:rPr lang="en-US" sz="1400" baseline="0"/>
            <a:t>for each month.</a:t>
          </a:r>
        </a:p>
        <a:p>
          <a:r>
            <a:rPr lang="en-US" sz="1400" baseline="0"/>
            <a:t>	Place the chart below the table.</a:t>
          </a:r>
        </a:p>
        <a:p>
          <a:r>
            <a:rPr lang="en-US" sz="1400" baseline="0"/>
            <a:t>	Move the legend (the months) to the right of the chart.</a:t>
          </a:r>
        </a:p>
        <a:p>
          <a:r>
            <a:rPr lang="en-US" sz="1400" baseline="0"/>
            <a:t>	Set the chart title to </a:t>
          </a:r>
          <a:r>
            <a:rPr lang="en-US" sz="1400" b="1" i="1" baseline="0"/>
            <a:t>Total Revenue.</a:t>
          </a:r>
        </a:p>
        <a:p>
          <a:r>
            <a:rPr lang="en-US" sz="1400" baseline="0"/>
            <a:t>	Add data labels that show the </a:t>
          </a:r>
          <a:r>
            <a:rPr lang="en-US" sz="1400" b="1" i="1" baseline="0"/>
            <a:t>Percentage</a:t>
          </a:r>
          <a:r>
            <a:rPr lang="en-US" sz="1400" baseline="0"/>
            <a:t> as a </a:t>
          </a:r>
          <a:r>
            <a:rPr lang="en-US" sz="1400" b="1" i="1" baseline="0"/>
            <a:t>Best Fit</a:t>
          </a:r>
          <a:r>
            <a:rPr lang="en-US" sz="1400" baseline="0"/>
            <a:t>.</a:t>
          </a: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Create a </a:t>
          </a:r>
          <a:r>
            <a:rPr lang="en-US" sz="14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Clustered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Column Chart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 Categores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 the months (do not include the totals).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Change the Chart Title to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 for Quarters 3 and 4.</a:t>
          </a:r>
          <a:endParaRPr lang="en-US" sz="1400">
            <a:effectLst/>
          </a:endParaRPr>
        </a:p>
        <a:p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Switch the row and columns.</a:t>
          </a:r>
          <a:endParaRPr lang="en-US" sz="1400">
            <a:effectLst/>
          </a:endParaRPr>
        </a:p>
        <a:p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Apply the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Style 4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chart style.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Remove the Data Labels.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Move the column chart to a new sheet called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Chart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Move the sheet after the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5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sheet and before the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6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worksheet.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 Set the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Chart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 color to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Red, Accent 2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4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Create a column sparkline in cell I5 using the data for the months July through December for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Lawn Maintenance</a:t>
          </a:r>
          <a:r>
            <a:rPr lang="en-US" sz="14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</a:t>
          </a:r>
        </a:p>
        <a:p>
          <a:r>
            <a:rPr lang="en-US" sz="14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Autofill this down for all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 Categories 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including Total Revenue</a:t>
          </a:r>
          <a:r>
            <a:rPr lang="en-US" sz="14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4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Show the </a:t>
          </a:r>
          <a:r>
            <a:rPr lang="en-US" sz="14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 Point </a:t>
          </a:r>
          <a:r>
            <a:rPr lang="en-US" sz="14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all sparklines.</a:t>
          </a:r>
          <a:endParaRPr lang="en-US" sz="1400" i="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123825</xdr:colOff>
      <xdr:row>10</xdr:row>
      <xdr:rowOff>85725</xdr:rowOff>
    </xdr:from>
    <xdr:to>
      <xdr:col>5</xdr:col>
      <xdr:colOff>295275</xdr:colOff>
      <xdr:row>24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7F5E2A-9854-2817-F95E-B7795EDD4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82935" cy="6308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52635-9216-1BCB-755B-46121BCB51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1</xdr:row>
      <xdr:rowOff>76199</xdr:rowOff>
    </xdr:from>
    <xdr:to>
      <xdr:col>24</xdr:col>
      <xdr:colOff>314324</xdr:colOff>
      <xdr:row>83</xdr:row>
      <xdr:rowOff>63500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8558742" y="266699"/>
          <a:ext cx="8075082" cy="51308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1. Select cell A1 and import the data from the file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Employee.csv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.  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It is delimited by commas.  </a:t>
          </a: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Accept all other defaults.</a:t>
          </a: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Be sure it loads into the Project 6 worksheet.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2. Insert a column to the right of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First Name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.  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Name the column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Employee Name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.  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In the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Employee Name 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column, use TEXTJOIN to create the Employee's last and first name using the</a:t>
          </a:r>
          <a:r>
            <a:rPr lang="en-US" sz="14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format 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Last, First.  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Hide the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Last Name 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and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First Name 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columns.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3. Apply conditional formatting to the Job Rating column: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Highlight the cells that have a job rating of 1, 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Use the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Light Red Fill, Dark Red Text</a:t>
          </a:r>
          <a:r>
            <a:rPr lang="en-US" sz="1400" b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formatting.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4. Increase the width of the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Salary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column to 15. </a:t>
          </a: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Format the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Salary</a:t>
          </a:r>
          <a:r>
            <a:rPr lang="en-US" sz="14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to </a:t>
          </a:r>
          <a:r>
            <a:rPr lang="en-US" sz="1400" b="1" i="1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Accounting style </a:t>
          </a:r>
          <a:r>
            <a:rPr lang="en-US" sz="14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with no decimal points.</a:t>
          </a:r>
          <a:endParaRPr lang="en-US" sz="1400">
            <a:solidFill>
              <a:srgbClr val="000000"/>
            </a:solidFill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Apply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Gradient Orange Data Bars 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to the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Salary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column.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5. Bold the headings (row 1) and apply </a:t>
          </a:r>
          <a:r>
            <a:rPr lang="en-US" sz="1400" b="1" i="1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Orange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, Standard Color background.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6. Prepare the sheet for printing by: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Adjust the page break so columns A through J will print on one page, </a:t>
          </a: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No other columns</a:t>
          </a:r>
          <a:r>
            <a:rPr lang="en-US" sz="14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 will print, i.e. columns K, L, ... will not print.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800100" marR="0" lvl="1" indent="-342900">
            <a:spcBef>
              <a:spcPts val="0"/>
            </a:spcBef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Set the heading row to print on all sheets.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7. Filter the sheet to show only those employees who have been with the company for 10 or more years.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8. </a:t>
          </a:r>
          <a:r>
            <a:rPr lang="en-US" sz="1400" u="none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Freeze</a:t>
          </a:r>
          <a:r>
            <a:rPr lang="en-US" sz="1400" u="none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the top row</a:t>
          </a:r>
          <a:r>
            <a:rPr lang="en-US" sz="14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.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0</xdr:col>
      <xdr:colOff>1324081</xdr:colOff>
      <xdr:row>4</xdr:row>
      <xdr:rowOff>432920</xdr:rowOff>
    </xdr:to>
    <xdr:pic>
      <xdr:nvPicPr>
        <xdr:cNvPr id="2" name="Picture 1" descr="Sailboat Rental and Charter Fleet">
          <a:extLst>
            <a:ext uri="{FF2B5EF4-FFF2-40B4-BE49-F238E27FC236}">
              <a16:creationId xmlns:a16="http://schemas.microsoft.com/office/drawing/2014/main" id="{166354C1-6CFC-4AB0-88B2-A9847DD9A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0"/>
          <a:ext cx="1219306" cy="1194920"/>
        </a:xfrm>
        <a:prstGeom prst="rect">
          <a:avLst/>
        </a:prstGeom>
      </xdr:spPr>
    </xdr:pic>
    <xdr:clientData/>
  </xdr:twoCellAnchor>
  <xdr:twoCellAnchor>
    <xdr:from>
      <xdr:col>7</xdr:col>
      <xdr:colOff>51858</xdr:colOff>
      <xdr:row>0</xdr:row>
      <xdr:rowOff>75140</xdr:rowOff>
    </xdr:from>
    <xdr:to>
      <xdr:col>19</xdr:col>
      <xdr:colOff>202141</xdr:colOff>
      <xdr:row>11</xdr:row>
      <xdr:rowOff>84666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B0D829-AD22-4EF2-AED6-A0FF35FE1EEF}"/>
            </a:ext>
          </a:extLst>
        </xdr:cNvPr>
        <xdr:cNvSpPr txBox="1"/>
      </xdr:nvSpPr>
      <xdr:spPr>
        <a:xfrm>
          <a:off x="8867775" y="75140"/>
          <a:ext cx="7516283" cy="257069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Instructions</a:t>
          </a:r>
        </a:p>
        <a:p>
          <a:r>
            <a:rPr lang="en-US" sz="1100" b="1" i="1"/>
            <a:t>Click</a:t>
          </a:r>
          <a:r>
            <a:rPr lang="en-US" sz="1100" b="1" i="1" baseline="0"/>
            <a:t> on this box, get the four pointed directional arrows, click and drag to move it.</a:t>
          </a:r>
          <a:endParaRPr lang="en-US" sz="1100" b="1" i="1"/>
        </a:p>
        <a:p>
          <a:r>
            <a:rPr lang="en-US" sz="1100" baseline="0"/>
            <a:t>Step 1: In cell D7, find the first three letters of the Staff Member's name (B7).  Autofill down.</a:t>
          </a:r>
        </a:p>
        <a:p>
          <a:r>
            <a:rPr lang="en-US" sz="1100" baseline="0"/>
            <a:t>Step 2: In cell E7, find the last five letters of the Position (A7).  Autofill down.</a:t>
          </a:r>
        </a:p>
        <a:p>
          <a:r>
            <a:rPr lang="en-US" sz="1100" baseline="0"/>
            <a:t>Step 3: In cell F7, find length of the Staff Member's name (B7).  Autofill down.</a:t>
          </a:r>
        </a:p>
        <a:p>
          <a:r>
            <a:rPr lang="en-US" sz="1100" baseline="0"/>
            <a:t>Step 4: In cell G7, create a password for each faculty member by using the CONCAT function.  The password is combining the values for the left (D8), right (E8) and length (F8). Autofill down.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5. Set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following workbook properties: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Title: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 Practice Exam 1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Author: &lt;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name&gt;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Manager: &lt;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instructor's name&gt;</a:t>
          </a:r>
          <a:endParaRPr lang="en-US">
            <a:effectLst/>
          </a:endParaRPr>
        </a:p>
        <a:p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6. Inspect the workbook for issues.  Close without making changes.</a:t>
          </a:r>
          <a:endParaRPr lang="en-US">
            <a:effectLst/>
          </a:endParaRPr>
        </a:p>
        <a:p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7. Save the workbook.</a:t>
          </a:r>
          <a:endParaRPr lang="en-US">
            <a:effectLst/>
          </a:endParaRPr>
        </a:p>
        <a:p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8. Export the </a:t>
          </a:r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4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worksheet as a PDF file.  Change the filename to </a:t>
          </a:r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4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r>
            <a:rPr lang="en-US" sz="1100" baseline="0"/>
            <a:t>                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rdell\Chap3\03_DataFiles\ParadiseLakes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s Lake"/>
      <sheetName val="Revenue"/>
    </sheetNames>
    <sheetDataSet>
      <sheetData sheetId="0">
        <row r="12">
          <cell r="K12">
            <v>0.25</v>
          </cell>
        </row>
        <row r="13">
          <cell r="K13">
            <v>0.15</v>
          </cell>
        </row>
        <row r="14">
          <cell r="K14">
            <v>0.1</v>
          </cell>
        </row>
        <row r="15">
          <cell r="K15">
            <v>0.28000000000000003</v>
          </cell>
        </row>
      </sheetData>
      <sheetData sheetId="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C8F2F0-5719-403E-9F1F-8D4589820A21}" autoFormatId="16" applyNumberFormats="0" applyBorderFormats="0" applyFontFormats="0" applyPatternFormats="0" applyAlignmentFormats="0" applyWidthHeightFormats="0">
  <queryTableRefresh nextId="11">
    <queryTableFields count="10">
      <queryTableField id="1" name="Last Name" tableColumnId="1"/>
      <queryTableField id="2" name="First Name" tableColumnId="2"/>
      <queryTableField id="10" dataBound="0" tableColumnId="11"/>
      <queryTableField id="3" name="Building" tableColumnId="3"/>
      <queryTableField id="4" name="Department" tableColumnId="4"/>
      <queryTableField id="5" name="Hire Date" tableColumnId="5"/>
      <queryTableField id="6" name="Years" tableColumnId="6"/>
      <queryTableField id="7" name="Benefits" tableColumnId="7"/>
      <queryTableField id="8" name=" Salary " tableColumnId="8"/>
      <queryTableField id="9" name="Job Rating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7354B0-B241-4800-A195-02E7531A3097}" name="January_Sale" displayName="January_Sale" ref="A3:F18" totalsRowCount="1" headerRowCellStyle="Normal 3" dataCellStyle="Normal 3">
  <autoFilter ref="A3:F17" xr:uid="{057354B0-B241-4800-A195-02E7531A3097}"/>
  <sortState xmlns:xlrd2="http://schemas.microsoft.com/office/spreadsheetml/2017/richdata2" ref="A4:E17">
    <sortCondition ref="A3:A17"/>
  </sortState>
  <tableColumns count="6">
    <tableColumn id="1" xr3:uid="{345343BC-806D-40A7-A9A0-1E061542E921}" name="Department" totalsRowLabel="Total" totalsRowDxfId="5" dataCellStyle="Normal 3"/>
    <tableColumn id="2" xr3:uid="{353B7559-98BE-471C-9326-81216209036E}" name="Week 1" totalsRowFunction="average" totalsRowDxfId="4" dataCellStyle="Normal 3"/>
    <tableColumn id="3" xr3:uid="{DC49256B-427F-4DFF-8534-6EA56E980B2F}" name="Week 2" totalsRowFunction="min" totalsRowDxfId="3" dataCellStyle="Normal 3"/>
    <tableColumn id="4" xr3:uid="{9D856ED8-2A9D-426D-A7A4-55B8C7CEDBFD}" name="Week 3" totalsRowFunction="max" totalsRowDxfId="2" dataCellStyle="Normal 3"/>
    <tableColumn id="5" xr3:uid="{08D19B6C-4080-4700-8557-0C4E0D0EF94F}" name="Week 4" totalsRowFunction="custom" totalsRowDxfId="1" dataCellStyle="Normal 3">
      <totalsRowFormula>MEDIAN(E4:E17)</totalsRowFormula>
    </tableColumn>
    <tableColumn id="6" xr3:uid="{4430BFE4-82D6-4D48-A84E-56556F7FFF61}" name="Total" totalsRowFunction="sum" dataDxfId="16" totalsRowDxfId="0" dataCellStyle="Normal 3">
      <calculatedColumnFormula>SUM(January_Sale[[#This Row],[Week 1]:[Week 4]])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2BBAC-4CB7-497E-B475-865E4C3356BF}" name="Employee" displayName="Employee" ref="A1:J742" tableType="queryTable" totalsRowShown="0" headerRowDxfId="15">
  <autoFilter ref="A1:J742" xr:uid="{55E2BBAC-4CB7-497E-B475-865E4C3356BF}">
    <filterColumn colId="5">
      <customFilters>
        <customFilter operator="greaterThanOrEqual" val="10"/>
      </customFilters>
    </filterColumn>
    <filterColumn colId="6">
      <customFilters>
        <customFilter operator="greaterThanOrEqual" val="10"/>
      </customFilters>
    </filterColumn>
  </autoFilter>
  <tableColumns count="10">
    <tableColumn id="1" xr3:uid="{CBED04FD-0BB8-495F-8331-C1158FD5514F}" uniqueName="1" name="Last Name" queryTableFieldId="1" dataDxfId="14"/>
    <tableColumn id="2" xr3:uid="{9FEF83EE-1367-48FA-9C97-A540614BFDEF}" uniqueName="2" name="First Name" queryTableFieldId="2" dataDxfId="13"/>
    <tableColumn id="11" xr3:uid="{302551B7-CFF3-441E-9483-D7B93512A99A}" uniqueName="11" name="Employee Name" queryTableFieldId="10" dataDxfId="12">
      <calculatedColumnFormula>_xlfn.TEXTJOIN(",",TRUE, Employee[[#This Row],[Last Name]], Employee[[#This Row],[First Name]])</calculatedColumnFormula>
    </tableColumn>
    <tableColumn id="3" xr3:uid="{B00509DB-4C65-4965-BD62-94E6D10EDB3D}" uniqueName="3" name="Building" queryTableFieldId="3" dataDxfId="11"/>
    <tableColumn id="4" xr3:uid="{F4B4A39D-E489-4369-90B5-7E062C7FC75E}" uniqueName="4" name="Department" queryTableFieldId="4" dataDxfId="10"/>
    <tableColumn id="5" xr3:uid="{3F6418C5-5881-403C-A081-E38D7F78F049}" uniqueName="5" name="Hire Date" queryTableFieldId="5" dataDxfId="9"/>
    <tableColumn id="6" xr3:uid="{4EDBA2C0-7E3D-422C-BFF7-BA7B0DC30ADB}" uniqueName="6" name="Years" queryTableFieldId="6"/>
    <tableColumn id="7" xr3:uid="{207D5CF6-48C2-4E5F-ABBC-269FFFC5109D}" uniqueName="7" name="Benefits" queryTableFieldId="7" dataDxfId="8"/>
    <tableColumn id="8" xr3:uid="{811DF013-B817-449C-9657-D1F87A67F6CD}" uniqueName="8" name=" Salary " queryTableFieldId="8" dataDxfId="7"/>
    <tableColumn id="9" xr3:uid="{4FE82925-49CA-4744-B6C0-C2CA8E267B07}" uniqueName="9" name="Job Ratin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zoomScaleNormal="100" workbookViewId="0">
      <selection activeCell="A22" sqref="A22"/>
    </sheetView>
  </sheetViews>
  <sheetFormatPr defaultRowHeight="15" x14ac:dyDescent="0.25"/>
  <sheetData>
    <row r="1" spans="1:14" ht="15.75" thickBot="1" x14ac:dyDescent="0.3"/>
    <row r="2" spans="1:14" ht="27" thickBot="1" x14ac:dyDescent="0.45">
      <c r="A2" s="65" t="s">
        <v>71</v>
      </c>
      <c r="B2" s="66"/>
      <c r="C2" s="66"/>
      <c r="D2" s="66"/>
      <c r="E2" s="66"/>
      <c r="F2" s="66"/>
      <c r="G2" s="66"/>
      <c r="H2" s="66"/>
      <c r="I2" s="66"/>
      <c r="J2" s="66"/>
      <c r="K2" s="67"/>
      <c r="L2" s="37"/>
      <c r="M2" s="37"/>
      <c r="N2" s="37"/>
    </row>
  </sheetData>
  <mergeCells count="1">
    <mergeCell ref="A2:K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9" zoomScale="80" zoomScaleNormal="80" workbookViewId="0">
      <selection activeCell="N18" sqref="N18"/>
    </sheetView>
  </sheetViews>
  <sheetFormatPr defaultRowHeight="15" x14ac:dyDescent="0.25"/>
  <cols>
    <col min="1" max="1" width="13.85546875" style="11" customWidth="1"/>
    <col min="2" max="2" width="9.85546875" style="11" customWidth="1"/>
    <col min="3" max="5" width="11" style="11" customWidth="1"/>
    <col min="6" max="6" width="11.140625" style="11" bestFit="1" customWidth="1"/>
    <col min="7" max="16384" width="9.140625" style="11"/>
  </cols>
  <sheetData>
    <row r="1" spans="1:6" ht="15" customHeight="1" x14ac:dyDescent="0.25">
      <c r="A1" s="68" t="s">
        <v>50</v>
      </c>
      <c r="B1" s="68"/>
      <c r="C1" s="68"/>
      <c r="D1" s="68"/>
      <c r="E1" s="68"/>
      <c r="F1" s="68"/>
    </row>
    <row r="2" spans="1:6" ht="15" customHeight="1" x14ac:dyDescent="0.25">
      <c r="A2" s="68" t="s">
        <v>51</v>
      </c>
      <c r="B2" s="68"/>
      <c r="C2" s="68"/>
      <c r="D2" s="68"/>
      <c r="E2" s="68"/>
      <c r="F2" s="68"/>
    </row>
    <row r="3" spans="1:6" ht="15" customHeight="1" x14ac:dyDescent="0.25">
      <c r="A3" s="39" t="s">
        <v>52</v>
      </c>
      <c r="B3" s="11" t="s">
        <v>53</v>
      </c>
      <c r="C3" s="77" t="s">
        <v>1285</v>
      </c>
      <c r="D3" s="77" t="s">
        <v>1286</v>
      </c>
      <c r="E3" s="77" t="s">
        <v>1287</v>
      </c>
      <c r="F3" s="77" t="s">
        <v>0</v>
      </c>
    </row>
    <row r="4" spans="1:6" x14ac:dyDescent="0.25">
      <c r="A4" s="11" t="s">
        <v>54</v>
      </c>
      <c r="B4" s="11">
        <v>2600</v>
      </c>
      <c r="C4" s="11">
        <v>3200</v>
      </c>
      <c r="D4" s="11">
        <v>3800</v>
      </c>
      <c r="E4" s="11">
        <v>3700</v>
      </c>
      <c r="F4" s="11">
        <f>SUM(January_Sale[[#This Row],[Week 1]:[Week 4]])</f>
        <v>13300</v>
      </c>
    </row>
    <row r="5" spans="1:6" x14ac:dyDescent="0.25">
      <c r="A5" s="11" t="s">
        <v>55</v>
      </c>
      <c r="B5" s="11">
        <v>3500</v>
      </c>
      <c r="C5" s="11">
        <v>1200</v>
      </c>
      <c r="D5" s="11">
        <v>1350</v>
      </c>
      <c r="E5" s="11">
        <v>2100</v>
      </c>
      <c r="F5" s="11">
        <f>SUM(January_Sale[[#This Row],[Week 1]:[Week 4]])</f>
        <v>8150</v>
      </c>
    </row>
    <row r="6" spans="1:6" x14ac:dyDescent="0.25">
      <c r="A6" s="11" t="s">
        <v>56</v>
      </c>
      <c r="B6" s="11">
        <v>1800</v>
      </c>
      <c r="C6" s="11">
        <v>1800</v>
      </c>
      <c r="D6" s="11">
        <v>2250</v>
      </c>
      <c r="E6" s="11">
        <v>1400</v>
      </c>
      <c r="F6" s="11">
        <f>SUM(January_Sale[[#This Row],[Week 1]:[Week 4]])</f>
        <v>7250</v>
      </c>
    </row>
    <row r="7" spans="1:6" x14ac:dyDescent="0.25">
      <c r="A7" s="11" t="s">
        <v>57</v>
      </c>
      <c r="B7" s="11">
        <v>1500</v>
      </c>
      <c r="C7" s="11">
        <v>1325</v>
      </c>
      <c r="D7" s="11">
        <v>1225</v>
      </c>
      <c r="E7" s="11">
        <v>2450</v>
      </c>
      <c r="F7" s="11">
        <f>SUM(January_Sale[[#This Row],[Week 1]:[Week 4]])</f>
        <v>6500</v>
      </c>
    </row>
    <row r="8" spans="1:6" x14ac:dyDescent="0.25">
      <c r="A8" s="11" t="s">
        <v>58</v>
      </c>
      <c r="B8" s="11">
        <v>2350</v>
      </c>
      <c r="C8" s="11">
        <v>1035</v>
      </c>
      <c r="D8" s="11">
        <v>1250</v>
      </c>
      <c r="E8" s="11">
        <v>2750</v>
      </c>
      <c r="F8" s="11">
        <f>SUM(January_Sale[[#This Row],[Week 1]:[Week 4]])</f>
        <v>7385</v>
      </c>
    </row>
    <row r="9" spans="1:6" x14ac:dyDescent="0.25">
      <c r="A9" s="11" t="s">
        <v>59</v>
      </c>
      <c r="B9" s="11">
        <v>2650</v>
      </c>
      <c r="C9" s="11">
        <v>2875</v>
      </c>
      <c r="D9" s="11">
        <v>3250</v>
      </c>
      <c r="E9" s="11">
        <v>3775</v>
      </c>
      <c r="F9" s="11">
        <f>SUM(January_Sale[[#This Row],[Week 1]:[Week 4]])</f>
        <v>12550</v>
      </c>
    </row>
    <row r="10" spans="1:6" x14ac:dyDescent="0.25">
      <c r="A10" s="11" t="s">
        <v>60</v>
      </c>
      <c r="B10" s="11">
        <v>1875</v>
      </c>
      <c r="C10" s="11">
        <v>2675</v>
      </c>
      <c r="D10" s="11">
        <v>3575</v>
      </c>
      <c r="E10" s="11">
        <v>3250</v>
      </c>
      <c r="F10" s="11">
        <f>SUM(January_Sale[[#This Row],[Week 1]:[Week 4]])</f>
        <v>11375</v>
      </c>
    </row>
    <row r="11" spans="1:6" x14ac:dyDescent="0.25">
      <c r="A11" s="11" t="s">
        <v>61</v>
      </c>
      <c r="B11" s="11">
        <v>1300</v>
      </c>
      <c r="C11" s="11">
        <v>1500</v>
      </c>
      <c r="D11" s="11">
        <v>1900</v>
      </c>
      <c r="E11" s="11">
        <v>1050</v>
      </c>
      <c r="F11" s="11">
        <f>SUM(January_Sale[[#This Row],[Week 1]:[Week 4]])</f>
        <v>5750</v>
      </c>
    </row>
    <row r="12" spans="1:6" x14ac:dyDescent="0.25">
      <c r="A12" s="11" t="s">
        <v>62</v>
      </c>
      <c r="B12" s="11">
        <v>4750</v>
      </c>
      <c r="C12" s="11">
        <v>875</v>
      </c>
      <c r="D12" s="11">
        <v>925</v>
      </c>
      <c r="E12" s="11">
        <v>5400</v>
      </c>
      <c r="F12" s="11">
        <f>SUM(January_Sale[[#This Row],[Week 1]:[Week 4]])</f>
        <v>11950</v>
      </c>
    </row>
    <row r="13" spans="1:6" x14ac:dyDescent="0.25">
      <c r="A13" s="11" t="s">
        <v>63</v>
      </c>
      <c r="B13" s="11">
        <v>850</v>
      </c>
      <c r="C13" s="11">
        <v>1875</v>
      </c>
      <c r="D13" s="11">
        <v>1950</v>
      </c>
      <c r="E13" s="11">
        <v>750</v>
      </c>
      <c r="F13" s="11">
        <f>SUM(January_Sale[[#This Row],[Week 1]:[Week 4]])</f>
        <v>5425</v>
      </c>
    </row>
    <row r="14" spans="1:6" x14ac:dyDescent="0.25">
      <c r="A14" s="11" t="s">
        <v>64</v>
      </c>
      <c r="B14" s="11">
        <v>2000</v>
      </c>
      <c r="C14" s="11">
        <v>1000</v>
      </c>
      <c r="D14" s="11">
        <v>650</v>
      </c>
      <c r="E14" s="11">
        <v>725</v>
      </c>
      <c r="F14" s="11">
        <f>SUM(January_Sale[[#This Row],[Week 1]:[Week 4]])</f>
        <v>4375</v>
      </c>
    </row>
    <row r="15" spans="1:6" x14ac:dyDescent="0.25">
      <c r="A15" s="11" t="s">
        <v>65</v>
      </c>
      <c r="B15" s="11">
        <v>1750</v>
      </c>
      <c r="C15" s="11">
        <v>1800</v>
      </c>
      <c r="D15" s="11">
        <v>1750</v>
      </c>
      <c r="E15" s="11">
        <v>1375</v>
      </c>
      <c r="F15" s="11">
        <f>SUM(January_Sale[[#This Row],[Week 1]:[Week 4]])</f>
        <v>6675</v>
      </c>
    </row>
    <row r="16" spans="1:6" x14ac:dyDescent="0.25">
      <c r="A16" s="11" t="s">
        <v>66</v>
      </c>
      <c r="B16" s="11">
        <v>1925</v>
      </c>
      <c r="C16" s="11">
        <v>2400</v>
      </c>
      <c r="D16" s="11">
        <v>2800</v>
      </c>
      <c r="E16" s="11">
        <v>2650</v>
      </c>
      <c r="F16" s="11">
        <f>SUM(January_Sale[[#This Row],[Week 1]:[Week 4]])</f>
        <v>9775</v>
      </c>
    </row>
    <row r="17" spans="1:6" x14ac:dyDescent="0.25">
      <c r="A17" s="11" t="s">
        <v>67</v>
      </c>
      <c r="B17" s="11">
        <v>1250</v>
      </c>
      <c r="C17" s="11">
        <v>34350</v>
      </c>
      <c r="D17" s="11">
        <v>2750</v>
      </c>
      <c r="E17" s="11">
        <v>550</v>
      </c>
      <c r="F17" s="11">
        <f>SUM(January_Sale[[#This Row],[Week 1]:[Week 4]])</f>
        <v>38900</v>
      </c>
    </row>
    <row r="18" spans="1:6" x14ac:dyDescent="0.25">
      <c r="A18" s="40" t="s">
        <v>0</v>
      </c>
      <c r="B18" s="40">
        <f>SUBTOTAL(101,January_Sale[Week 1])</f>
        <v>2150</v>
      </c>
      <c r="C18" s="40">
        <f>SUBTOTAL(105,January_Sale[Week 2])</f>
        <v>875</v>
      </c>
      <c r="D18" s="40">
        <f>SUBTOTAL(104,January_Sale[Week 3])</f>
        <v>3800</v>
      </c>
      <c r="E18" s="40">
        <f>MEDIAN(E4:E17)</f>
        <v>2275</v>
      </c>
      <c r="F18" s="78">
        <f>SUBTOTAL(109,January_Sale[Total])</f>
        <v>149360</v>
      </c>
    </row>
  </sheetData>
  <sortState xmlns:xlrd2="http://schemas.microsoft.com/office/spreadsheetml/2017/richdata2" ref="A4:E17">
    <sortCondition ref="D4:D17"/>
  </sortState>
  <mergeCells count="2">
    <mergeCell ref="A1:F1"/>
    <mergeCell ref="A2:F2"/>
  </mergeCells>
  <phoneticPr fontId="3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zoomScaleNormal="100" workbookViewId="0">
      <selection activeCell="R2" sqref="R2"/>
    </sheetView>
  </sheetViews>
  <sheetFormatPr defaultRowHeight="15" x14ac:dyDescent="0.25"/>
  <cols>
    <col min="1" max="1" width="7.42578125" style="36" bestFit="1" customWidth="1"/>
    <col min="2" max="2" width="9.7109375" style="36" bestFit="1" customWidth="1"/>
    <col min="3" max="4" width="7" style="36" bestFit="1" customWidth="1"/>
    <col min="5" max="5" width="5.85546875" style="36" bestFit="1" customWidth="1"/>
    <col min="6" max="6" width="7" style="36" bestFit="1" customWidth="1"/>
    <col min="7" max="7" width="10.42578125" style="36" bestFit="1" customWidth="1"/>
    <col min="8" max="8" width="8.7109375" style="36" bestFit="1" customWidth="1"/>
    <col min="9" max="9" width="12" style="36" customWidth="1"/>
    <col min="10" max="16384" width="9.140625" style="11"/>
  </cols>
  <sheetData>
    <row r="1" spans="1:9" ht="28.5" x14ac:dyDescent="0.45">
      <c r="A1" s="32" t="s">
        <v>37</v>
      </c>
      <c r="B1" s="33"/>
      <c r="C1" s="33"/>
      <c r="D1" s="33"/>
      <c r="E1" s="33"/>
      <c r="F1" s="33"/>
      <c r="G1" s="33"/>
      <c r="H1" s="33"/>
      <c r="I1" s="33"/>
    </row>
    <row r="2" spans="1:9" ht="29.25" thickBot="1" x14ac:dyDescent="0.5">
      <c r="A2" s="34" t="s">
        <v>36</v>
      </c>
      <c r="B2" s="35"/>
      <c r="C2" s="35"/>
      <c r="D2" s="35"/>
      <c r="E2" s="35"/>
      <c r="F2" s="35"/>
      <c r="G2" s="35"/>
      <c r="H2" s="35"/>
      <c r="I2" s="35"/>
    </row>
    <row r="3" spans="1:9" ht="15.75" thickTop="1" x14ac:dyDescent="0.25"/>
    <row r="4" spans="1:9" s="36" customFormat="1" ht="30" x14ac:dyDescent="0.25">
      <c r="A4" s="54" t="s">
        <v>35</v>
      </c>
      <c r="B4" s="54" t="s">
        <v>34</v>
      </c>
      <c r="C4" s="54" t="s">
        <v>33</v>
      </c>
      <c r="D4" s="54" t="s">
        <v>32</v>
      </c>
      <c r="E4" s="54" t="s">
        <v>31</v>
      </c>
      <c r="F4" s="54" t="s">
        <v>30</v>
      </c>
      <c r="G4" s="54" t="s">
        <v>70</v>
      </c>
      <c r="H4" s="54" t="s">
        <v>29</v>
      </c>
      <c r="I4" s="55" t="s">
        <v>28</v>
      </c>
    </row>
    <row r="5" spans="1:9" ht="31.5" x14ac:dyDescent="0.25">
      <c r="A5" s="41">
        <v>1010</v>
      </c>
      <c r="B5" s="42" t="s">
        <v>17</v>
      </c>
      <c r="C5" s="43" t="s">
        <v>16</v>
      </c>
      <c r="D5" s="43">
        <v>2000</v>
      </c>
      <c r="E5" s="43">
        <v>8</v>
      </c>
      <c r="F5" s="43">
        <v>6</v>
      </c>
      <c r="G5" s="43" t="str">
        <f>IF(E5&gt;8, "YES", "NO")</f>
        <v>NO</v>
      </c>
      <c r="H5" s="44">
        <v>375</v>
      </c>
      <c r="I5" s="19">
        <v>650</v>
      </c>
    </row>
    <row r="6" spans="1:9" ht="31.5" x14ac:dyDescent="0.25">
      <c r="A6" s="45">
        <v>1015</v>
      </c>
      <c r="B6" s="46" t="s">
        <v>17</v>
      </c>
      <c r="C6" s="47" t="s">
        <v>16</v>
      </c>
      <c r="D6" s="47">
        <v>2001</v>
      </c>
      <c r="E6" s="47">
        <v>8</v>
      </c>
      <c r="F6" s="47">
        <v>6</v>
      </c>
      <c r="G6" s="43" t="str">
        <f t="shared" ref="G6:G19" si="0">IF(E6&gt;8, "YES", "NO")</f>
        <v>NO</v>
      </c>
      <c r="H6" s="48">
        <v>425</v>
      </c>
      <c r="I6" s="15">
        <v>725</v>
      </c>
    </row>
    <row r="7" spans="1:9" ht="31.5" x14ac:dyDescent="0.25">
      <c r="A7" s="45">
        <v>1146</v>
      </c>
      <c r="B7" s="46" t="s">
        <v>25</v>
      </c>
      <c r="C7" s="47" t="s">
        <v>24</v>
      </c>
      <c r="D7" s="47">
        <v>2004</v>
      </c>
      <c r="E7" s="47">
        <v>10</v>
      </c>
      <c r="F7" s="47">
        <v>6</v>
      </c>
      <c r="G7" s="43" t="str">
        <f t="shared" si="0"/>
        <v>YES</v>
      </c>
      <c r="H7" s="48">
        <v>350</v>
      </c>
      <c r="I7" s="15">
        <v>500</v>
      </c>
    </row>
    <row r="8" spans="1:9" ht="31.5" x14ac:dyDescent="0.25">
      <c r="A8" s="45">
        <v>1150</v>
      </c>
      <c r="B8" s="46" t="s">
        <v>27</v>
      </c>
      <c r="C8" s="47" t="s">
        <v>26</v>
      </c>
      <c r="D8" s="47">
        <v>2005</v>
      </c>
      <c r="E8" s="47">
        <v>6</v>
      </c>
      <c r="F8" s="47">
        <v>4</v>
      </c>
      <c r="G8" s="43" t="str">
        <f t="shared" si="0"/>
        <v>NO</v>
      </c>
      <c r="H8" s="48">
        <v>325</v>
      </c>
      <c r="I8" s="15">
        <v>500</v>
      </c>
    </row>
    <row r="9" spans="1:9" ht="31.5" x14ac:dyDescent="0.25">
      <c r="A9" s="45">
        <v>1152</v>
      </c>
      <c r="B9" s="46" t="s">
        <v>27</v>
      </c>
      <c r="C9" s="47" t="s">
        <v>26</v>
      </c>
      <c r="D9" s="47">
        <v>2005</v>
      </c>
      <c r="E9" s="47">
        <v>6</v>
      </c>
      <c r="F9" s="47">
        <v>4</v>
      </c>
      <c r="G9" s="43" t="str">
        <f t="shared" si="0"/>
        <v>NO</v>
      </c>
      <c r="H9" s="48">
        <v>325</v>
      </c>
      <c r="I9" s="15">
        <v>500</v>
      </c>
    </row>
    <row r="10" spans="1:9" ht="31.5" x14ac:dyDescent="0.25">
      <c r="A10" s="45">
        <v>1164</v>
      </c>
      <c r="B10" s="46" t="s">
        <v>27</v>
      </c>
      <c r="C10" s="47" t="s">
        <v>26</v>
      </c>
      <c r="D10" s="47">
        <v>2006</v>
      </c>
      <c r="E10" s="47">
        <v>6</v>
      </c>
      <c r="F10" s="47">
        <v>4</v>
      </c>
      <c r="G10" s="43" t="str">
        <f t="shared" si="0"/>
        <v>NO</v>
      </c>
      <c r="H10" s="48">
        <v>325</v>
      </c>
      <c r="I10" s="15">
        <v>500</v>
      </c>
    </row>
    <row r="11" spans="1:9" ht="31.5" x14ac:dyDescent="0.25">
      <c r="A11" s="45">
        <v>1168</v>
      </c>
      <c r="B11" s="46" t="s">
        <v>25</v>
      </c>
      <c r="C11" s="47" t="s">
        <v>24</v>
      </c>
      <c r="D11" s="47">
        <v>2007</v>
      </c>
      <c r="E11" s="47">
        <v>10</v>
      </c>
      <c r="F11" s="47">
        <v>6</v>
      </c>
      <c r="G11" s="43" t="str">
        <f t="shared" si="0"/>
        <v>YES</v>
      </c>
      <c r="H11" s="48">
        <v>425</v>
      </c>
      <c r="I11" s="15">
        <v>725</v>
      </c>
    </row>
    <row r="12" spans="1:9" ht="31.5" x14ac:dyDescent="0.25">
      <c r="A12" s="45">
        <v>1175</v>
      </c>
      <c r="B12" s="46" t="s">
        <v>21</v>
      </c>
      <c r="C12" s="47" t="s">
        <v>20</v>
      </c>
      <c r="D12" s="47">
        <v>2008</v>
      </c>
      <c r="E12" s="47">
        <v>12</v>
      </c>
      <c r="F12" s="47">
        <v>6</v>
      </c>
      <c r="G12" s="43" t="str">
        <f t="shared" si="0"/>
        <v>YES</v>
      </c>
      <c r="H12" s="48">
        <v>489</v>
      </c>
      <c r="I12" s="15">
        <v>750</v>
      </c>
    </row>
    <row r="13" spans="1:9" ht="31.5" x14ac:dyDescent="0.25">
      <c r="A13" s="45">
        <v>1180</v>
      </c>
      <c r="B13" s="46" t="s">
        <v>23</v>
      </c>
      <c r="C13" s="47" t="s">
        <v>22</v>
      </c>
      <c r="D13" s="47">
        <v>2009</v>
      </c>
      <c r="E13" s="47">
        <v>10</v>
      </c>
      <c r="F13" s="47">
        <v>6</v>
      </c>
      <c r="G13" s="43" t="str">
        <f t="shared" si="0"/>
        <v>YES</v>
      </c>
      <c r="H13" s="48">
        <v>369</v>
      </c>
      <c r="I13" s="15">
        <v>725</v>
      </c>
    </row>
    <row r="14" spans="1:9" ht="31.5" x14ac:dyDescent="0.25">
      <c r="A14" s="45">
        <v>1185</v>
      </c>
      <c r="B14" s="46" t="s">
        <v>19</v>
      </c>
      <c r="C14" s="47" t="s">
        <v>18</v>
      </c>
      <c r="D14" s="47">
        <v>2009</v>
      </c>
      <c r="E14" s="47">
        <v>10</v>
      </c>
      <c r="F14" s="47">
        <v>6</v>
      </c>
      <c r="G14" s="43" t="str">
        <f t="shared" si="0"/>
        <v>YES</v>
      </c>
      <c r="H14" s="48">
        <v>349</v>
      </c>
      <c r="I14" s="15">
        <v>550</v>
      </c>
    </row>
    <row r="15" spans="1:9" ht="31.5" x14ac:dyDescent="0.25">
      <c r="A15" s="45">
        <v>1190</v>
      </c>
      <c r="B15" s="46" t="s">
        <v>23</v>
      </c>
      <c r="C15" s="47" t="s">
        <v>22</v>
      </c>
      <c r="D15" s="47">
        <v>2010</v>
      </c>
      <c r="E15" s="47">
        <v>10</v>
      </c>
      <c r="F15" s="47">
        <v>6</v>
      </c>
      <c r="G15" s="43" t="str">
        <f t="shared" si="0"/>
        <v>YES</v>
      </c>
      <c r="H15" s="48">
        <v>369</v>
      </c>
      <c r="I15" s="15">
        <v>625</v>
      </c>
    </row>
    <row r="16" spans="1:9" ht="31.5" x14ac:dyDescent="0.25">
      <c r="A16" s="45">
        <v>1200</v>
      </c>
      <c r="B16" s="46" t="s">
        <v>23</v>
      </c>
      <c r="C16" s="47" t="s">
        <v>22</v>
      </c>
      <c r="D16" s="47">
        <v>2010</v>
      </c>
      <c r="E16" s="47">
        <v>10</v>
      </c>
      <c r="F16" s="47">
        <v>6</v>
      </c>
      <c r="G16" s="43" t="str">
        <f t="shared" si="0"/>
        <v>YES</v>
      </c>
      <c r="H16" s="48">
        <v>369</v>
      </c>
      <c r="I16" s="15">
        <v>625</v>
      </c>
    </row>
    <row r="17" spans="1:9" ht="31.5" x14ac:dyDescent="0.25">
      <c r="A17" s="45">
        <v>1205</v>
      </c>
      <c r="B17" s="46" t="s">
        <v>21</v>
      </c>
      <c r="C17" s="47" t="s">
        <v>20</v>
      </c>
      <c r="D17" s="47">
        <v>2012</v>
      </c>
      <c r="E17" s="47">
        <v>12</v>
      </c>
      <c r="F17" s="47">
        <v>6</v>
      </c>
      <c r="G17" s="43" t="str">
        <f t="shared" si="0"/>
        <v>YES</v>
      </c>
      <c r="H17" s="48">
        <v>489</v>
      </c>
      <c r="I17" s="15">
        <v>750</v>
      </c>
    </row>
    <row r="18" spans="1:9" ht="31.5" x14ac:dyDescent="0.25">
      <c r="A18" s="45">
        <v>1225</v>
      </c>
      <c r="B18" s="46" t="s">
        <v>19</v>
      </c>
      <c r="C18" s="47" t="s">
        <v>18</v>
      </c>
      <c r="D18" s="47">
        <v>2012</v>
      </c>
      <c r="E18" s="47">
        <v>10</v>
      </c>
      <c r="F18" s="47">
        <v>6</v>
      </c>
      <c r="G18" s="43" t="str">
        <f t="shared" si="0"/>
        <v>YES</v>
      </c>
      <c r="H18" s="48">
        <v>349</v>
      </c>
      <c r="I18" s="15">
        <v>725</v>
      </c>
    </row>
    <row r="19" spans="1:9" ht="31.5" x14ac:dyDescent="0.25">
      <c r="A19" s="49">
        <v>1230</v>
      </c>
      <c r="B19" s="50" t="s">
        <v>17</v>
      </c>
      <c r="C19" s="51" t="s">
        <v>16</v>
      </c>
      <c r="D19" s="51">
        <v>2012</v>
      </c>
      <c r="E19" s="51">
        <v>8</v>
      </c>
      <c r="F19" s="51">
        <v>6</v>
      </c>
      <c r="G19" s="79" t="str">
        <f t="shared" si="0"/>
        <v>NO</v>
      </c>
      <c r="H19" s="52">
        <v>439</v>
      </c>
      <c r="I19" s="53">
        <v>675</v>
      </c>
    </row>
  </sheetData>
  <pageMargins left="0.7" right="0.7" top="0.75" bottom="0.75" header="0.3" footer="0.3"/>
  <pageSetup orientation="portrait" r:id="rId1"/>
  <headerFooter>
    <oddHeader>&amp;LPromise Beshel&amp;RPage 1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80" zoomScaleNormal="80" workbookViewId="0">
      <selection activeCell="J18" sqref="J18"/>
    </sheetView>
  </sheetViews>
  <sheetFormatPr defaultRowHeight="15" x14ac:dyDescent="0.25"/>
  <cols>
    <col min="1" max="1" width="10" style="11" customWidth="1"/>
    <col min="2" max="2" width="18.7109375" style="11" customWidth="1"/>
    <col min="3" max="3" width="9.140625" style="11"/>
    <col min="4" max="4" width="11.42578125" style="11" bestFit="1" customWidth="1"/>
    <col min="5" max="5" width="12.42578125" style="11" bestFit="1" customWidth="1"/>
    <col min="6" max="6" width="11.42578125" style="11" bestFit="1" customWidth="1"/>
    <col min="7" max="7" width="15.28515625" style="11" customWidth="1"/>
    <col min="8" max="16384" width="9.140625" style="11"/>
  </cols>
  <sheetData>
    <row r="1" spans="1:7" ht="28.5" customHeight="1" x14ac:dyDescent="0.45">
      <c r="A1" s="32" t="s">
        <v>37</v>
      </c>
      <c r="B1" s="32"/>
      <c r="C1" s="32"/>
      <c r="D1" s="32"/>
      <c r="E1" s="32"/>
      <c r="F1" s="32"/>
      <c r="G1" s="32"/>
    </row>
    <row r="2" spans="1:7" ht="28.5" customHeight="1" x14ac:dyDescent="0.45">
      <c r="A2" s="32" t="s">
        <v>38</v>
      </c>
      <c r="B2" s="32"/>
      <c r="C2" s="32"/>
      <c r="D2" s="32"/>
      <c r="E2" s="32"/>
      <c r="F2" s="32"/>
      <c r="G2" s="32"/>
    </row>
    <row r="3" spans="1:7" ht="25.5" customHeight="1" x14ac:dyDescent="0.35">
      <c r="D3" s="69" t="s">
        <v>39</v>
      </c>
      <c r="E3" s="69"/>
      <c r="F3" s="69" t="s">
        <v>40</v>
      </c>
      <c r="G3" s="69"/>
    </row>
    <row r="4" spans="1:7" ht="27" customHeight="1" x14ac:dyDescent="0.25">
      <c r="A4" s="23" t="s">
        <v>35</v>
      </c>
      <c r="B4" s="23" t="s">
        <v>34</v>
      </c>
      <c r="C4" s="23" t="s">
        <v>33</v>
      </c>
      <c r="D4" s="24">
        <v>0.05</v>
      </c>
      <c r="E4" s="24">
        <v>0.1</v>
      </c>
      <c r="F4" s="24">
        <v>0.05</v>
      </c>
      <c r="G4" s="24">
        <v>0.1</v>
      </c>
    </row>
    <row r="5" spans="1:7" ht="15.75" x14ac:dyDescent="0.25">
      <c r="A5" s="22">
        <v>1010</v>
      </c>
      <c r="B5" s="21" t="s">
        <v>17</v>
      </c>
      <c r="C5" s="20" t="s">
        <v>16</v>
      </c>
      <c r="D5" s="30">
        <f>$D$4*'Project 2'!H5</f>
        <v>18.75</v>
      </c>
      <c r="E5" s="31">
        <f>$E$4*'Project 2'!H5</f>
        <v>37.5</v>
      </c>
      <c r="F5" s="31">
        <f>$F$4*'Project 2'!I5</f>
        <v>32.5</v>
      </c>
      <c r="G5" s="31">
        <f>$G$4*'Project 2'!I5</f>
        <v>65</v>
      </c>
    </row>
    <row r="6" spans="1:7" ht="15.75" x14ac:dyDescent="0.25">
      <c r="A6" s="18">
        <v>1015</v>
      </c>
      <c r="B6" s="17" t="s">
        <v>17</v>
      </c>
      <c r="C6" s="16" t="s">
        <v>16</v>
      </c>
      <c r="D6" s="30">
        <f>$D$4*'Project 2'!H6</f>
        <v>21.25</v>
      </c>
      <c r="E6" s="31">
        <f>$E$4*'Project 2'!H6</f>
        <v>42.5</v>
      </c>
      <c r="F6" s="31">
        <f>$F$4*'Project 2'!I6</f>
        <v>36.25</v>
      </c>
      <c r="G6" s="31">
        <f>$G$4*'Project 2'!I6</f>
        <v>72.5</v>
      </c>
    </row>
    <row r="7" spans="1:7" ht="15.75" x14ac:dyDescent="0.25">
      <c r="A7" s="18">
        <v>1146</v>
      </c>
      <c r="B7" s="17" t="s">
        <v>25</v>
      </c>
      <c r="C7" s="16" t="s">
        <v>24</v>
      </c>
      <c r="D7" s="30">
        <f>$D$4*'Project 2'!H7</f>
        <v>17.5</v>
      </c>
      <c r="E7" s="31">
        <f>$E$4*'Project 2'!H7</f>
        <v>35</v>
      </c>
      <c r="F7" s="31">
        <f>$F$4*'Project 2'!I7</f>
        <v>25</v>
      </c>
      <c r="G7" s="31">
        <f>$G$4*'Project 2'!I7</f>
        <v>50</v>
      </c>
    </row>
    <row r="8" spans="1:7" ht="15.75" x14ac:dyDescent="0.25">
      <c r="A8" s="18">
        <v>1150</v>
      </c>
      <c r="B8" s="17" t="s">
        <v>27</v>
      </c>
      <c r="C8" s="16" t="s">
        <v>26</v>
      </c>
      <c r="D8" s="30">
        <f>$D$4*'Project 2'!H8</f>
        <v>16.25</v>
      </c>
      <c r="E8" s="31">
        <f>$E$4*'Project 2'!H8</f>
        <v>32.5</v>
      </c>
      <c r="F8" s="31">
        <f>$F$4*'Project 2'!I8</f>
        <v>25</v>
      </c>
      <c r="G8" s="31">
        <f>$G$4*'Project 2'!I8</f>
        <v>50</v>
      </c>
    </row>
    <row r="9" spans="1:7" ht="15.75" x14ac:dyDescent="0.25">
      <c r="A9" s="18">
        <v>1152</v>
      </c>
      <c r="B9" s="17" t="s">
        <v>27</v>
      </c>
      <c r="C9" s="16" t="s">
        <v>26</v>
      </c>
      <c r="D9" s="30">
        <f>$D$4*'Project 2'!H9</f>
        <v>16.25</v>
      </c>
      <c r="E9" s="31">
        <f>$E$4*'Project 2'!H9</f>
        <v>32.5</v>
      </c>
      <c r="F9" s="31">
        <f>$F$4*'Project 2'!I9</f>
        <v>25</v>
      </c>
      <c r="G9" s="31">
        <f>$G$4*'Project 2'!I9</f>
        <v>50</v>
      </c>
    </row>
    <row r="10" spans="1:7" ht="15.75" x14ac:dyDescent="0.25">
      <c r="A10" s="18">
        <v>1164</v>
      </c>
      <c r="B10" s="17" t="s">
        <v>27</v>
      </c>
      <c r="C10" s="16" t="s">
        <v>26</v>
      </c>
      <c r="D10" s="30">
        <f>$D$4*'Project 2'!H10</f>
        <v>16.25</v>
      </c>
      <c r="E10" s="31">
        <f>$E$4*'Project 2'!H10</f>
        <v>32.5</v>
      </c>
      <c r="F10" s="31">
        <f>$F$4*'Project 2'!I10</f>
        <v>25</v>
      </c>
      <c r="G10" s="31">
        <f>$G$4*'Project 2'!I10</f>
        <v>50</v>
      </c>
    </row>
    <row r="11" spans="1:7" ht="15.75" x14ac:dyDescent="0.25">
      <c r="A11" s="18">
        <v>1168</v>
      </c>
      <c r="B11" s="17" t="s">
        <v>25</v>
      </c>
      <c r="C11" s="16" t="s">
        <v>24</v>
      </c>
      <c r="D11" s="30">
        <f>$D$4*'Project 2'!H11</f>
        <v>21.25</v>
      </c>
      <c r="E11" s="31">
        <f>$E$4*'Project 2'!H11</f>
        <v>42.5</v>
      </c>
      <c r="F11" s="31">
        <f>$F$4*'Project 2'!I11</f>
        <v>36.25</v>
      </c>
      <c r="G11" s="31">
        <f>$G$4*'Project 2'!I11</f>
        <v>72.5</v>
      </c>
    </row>
    <row r="12" spans="1:7" ht="15.75" x14ac:dyDescent="0.25">
      <c r="A12" s="18">
        <v>1175</v>
      </c>
      <c r="B12" s="17" t="s">
        <v>21</v>
      </c>
      <c r="C12" s="16" t="s">
        <v>20</v>
      </c>
      <c r="D12" s="30">
        <f>$D$4*'Project 2'!H12</f>
        <v>24.450000000000003</v>
      </c>
      <c r="E12" s="31">
        <f>$E$4*'Project 2'!H12</f>
        <v>48.900000000000006</v>
      </c>
      <c r="F12" s="31">
        <f>$F$4*'Project 2'!I12</f>
        <v>37.5</v>
      </c>
      <c r="G12" s="31">
        <f>$G$4*'Project 2'!I12</f>
        <v>75</v>
      </c>
    </row>
    <row r="13" spans="1:7" ht="15.75" x14ac:dyDescent="0.25">
      <c r="A13" s="18">
        <v>1180</v>
      </c>
      <c r="B13" s="17" t="s">
        <v>23</v>
      </c>
      <c r="C13" s="16" t="s">
        <v>22</v>
      </c>
      <c r="D13" s="30">
        <f>$D$4*'Project 2'!H13</f>
        <v>18.45</v>
      </c>
      <c r="E13" s="31">
        <f>$E$4*'Project 2'!H13</f>
        <v>36.9</v>
      </c>
      <c r="F13" s="31">
        <f>$F$4*'Project 2'!I13</f>
        <v>36.25</v>
      </c>
      <c r="G13" s="31">
        <f>$G$4*'Project 2'!I13</f>
        <v>72.5</v>
      </c>
    </row>
    <row r="14" spans="1:7" ht="15.75" x14ac:dyDescent="0.25">
      <c r="A14" s="18">
        <v>1185</v>
      </c>
      <c r="B14" s="17" t="s">
        <v>19</v>
      </c>
      <c r="C14" s="16" t="s">
        <v>18</v>
      </c>
      <c r="D14" s="30">
        <f>$D$4*'Project 2'!H14</f>
        <v>17.45</v>
      </c>
      <c r="E14" s="31">
        <f>$E$4*'Project 2'!H14</f>
        <v>34.9</v>
      </c>
      <c r="F14" s="31">
        <f>$F$4*'Project 2'!I14</f>
        <v>27.5</v>
      </c>
      <c r="G14" s="31">
        <f>$G$4*'Project 2'!I14</f>
        <v>55</v>
      </c>
    </row>
    <row r="15" spans="1:7" ht="15.75" x14ac:dyDescent="0.25">
      <c r="A15" s="18">
        <v>1190</v>
      </c>
      <c r="B15" s="17" t="s">
        <v>23</v>
      </c>
      <c r="C15" s="16" t="s">
        <v>22</v>
      </c>
      <c r="D15" s="30">
        <f>$D$4*'Project 2'!H15</f>
        <v>18.45</v>
      </c>
      <c r="E15" s="31">
        <f>$E$4*'Project 2'!H15</f>
        <v>36.9</v>
      </c>
      <c r="F15" s="31">
        <f>$F$4*'Project 2'!I15</f>
        <v>31.25</v>
      </c>
      <c r="G15" s="31">
        <f>$G$4*'Project 2'!I15</f>
        <v>62.5</v>
      </c>
    </row>
    <row r="16" spans="1:7" ht="15.75" x14ac:dyDescent="0.25">
      <c r="A16" s="18">
        <v>1200</v>
      </c>
      <c r="B16" s="17" t="s">
        <v>23</v>
      </c>
      <c r="C16" s="16" t="s">
        <v>22</v>
      </c>
      <c r="D16" s="30">
        <f>$D$4*'Project 2'!H16</f>
        <v>18.45</v>
      </c>
      <c r="E16" s="31">
        <f>$E$4*'Project 2'!H16</f>
        <v>36.9</v>
      </c>
      <c r="F16" s="31">
        <f>$F$4*'Project 2'!I16</f>
        <v>31.25</v>
      </c>
      <c r="G16" s="31">
        <f>$G$4*'Project 2'!I16</f>
        <v>62.5</v>
      </c>
    </row>
    <row r="17" spans="1:7" ht="15.75" x14ac:dyDescent="0.25">
      <c r="A17" s="18">
        <v>1205</v>
      </c>
      <c r="B17" s="17" t="s">
        <v>21</v>
      </c>
      <c r="C17" s="16" t="s">
        <v>20</v>
      </c>
      <c r="D17" s="30">
        <f>$D$4*'Project 2'!H17</f>
        <v>24.450000000000003</v>
      </c>
      <c r="E17" s="31">
        <f>$E$4*'Project 2'!H17</f>
        <v>48.900000000000006</v>
      </c>
      <c r="F17" s="31">
        <f>$F$4*'Project 2'!I17</f>
        <v>37.5</v>
      </c>
      <c r="G17" s="31">
        <f>$G$4*'Project 2'!I17</f>
        <v>75</v>
      </c>
    </row>
    <row r="18" spans="1:7" ht="15.75" x14ac:dyDescent="0.25">
      <c r="A18" s="18">
        <v>1225</v>
      </c>
      <c r="B18" s="17" t="s">
        <v>19</v>
      </c>
      <c r="C18" s="16" t="s">
        <v>18</v>
      </c>
      <c r="D18" s="30">
        <f>$D$4*'Project 2'!H18</f>
        <v>17.45</v>
      </c>
      <c r="E18" s="31">
        <f>$E$4*'Project 2'!H18</f>
        <v>34.9</v>
      </c>
      <c r="F18" s="31">
        <f>$F$4*'Project 2'!I18</f>
        <v>36.25</v>
      </c>
      <c r="G18" s="31">
        <f>$G$4*'Project 2'!I18</f>
        <v>72.5</v>
      </c>
    </row>
    <row r="19" spans="1:7" ht="15.75" x14ac:dyDescent="0.25">
      <c r="A19" s="14">
        <v>1230</v>
      </c>
      <c r="B19" s="13" t="s">
        <v>17</v>
      </c>
      <c r="C19" s="12" t="s">
        <v>16</v>
      </c>
      <c r="D19" s="80">
        <f>$D$4*'Project 2'!H19</f>
        <v>21.950000000000003</v>
      </c>
      <c r="E19" s="81">
        <f>$E$4*'Project 2'!H19</f>
        <v>43.900000000000006</v>
      </c>
      <c r="F19" s="81">
        <f>$F$4*'Project 2'!I19</f>
        <v>33.75</v>
      </c>
      <c r="G19" s="81">
        <f>$G$4*'Project 2'!I19</f>
        <v>67.5</v>
      </c>
    </row>
  </sheetData>
  <mergeCells count="2">
    <mergeCell ref="D3:E3"/>
    <mergeCell ref="F3:G3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activeCell="I27" sqref="I27"/>
    </sheetView>
  </sheetViews>
  <sheetFormatPr defaultRowHeight="15" x14ac:dyDescent="0.25"/>
  <cols>
    <col min="1" max="1" width="11.140625" style="11" customWidth="1"/>
    <col min="2" max="2" width="9.140625" style="11"/>
    <col min="3" max="3" width="18.7109375" style="11" customWidth="1"/>
    <col min="4" max="4" width="10.85546875" style="60" bestFit="1" customWidth="1"/>
    <col min="5" max="5" width="11.42578125" style="60" bestFit="1" customWidth="1"/>
    <col min="6" max="6" width="12.42578125" style="60" bestFit="1" customWidth="1"/>
    <col min="7" max="7" width="12.42578125" style="11" bestFit="1" customWidth="1"/>
    <col min="8" max="8" width="11.42578125" style="11" bestFit="1" customWidth="1"/>
    <col min="9" max="10" width="12.42578125" style="11" bestFit="1" customWidth="1"/>
    <col min="11" max="16384" width="9.140625" style="11"/>
  </cols>
  <sheetData>
    <row r="1" spans="1:6" ht="26.25" x14ac:dyDescent="0.4">
      <c r="A1" s="71" t="s">
        <v>41</v>
      </c>
      <c r="B1" s="71"/>
      <c r="C1" s="71"/>
      <c r="D1" s="71"/>
      <c r="E1" s="71"/>
      <c r="F1" s="71"/>
    </row>
    <row r="2" spans="1:6" ht="18.75" x14ac:dyDescent="0.3">
      <c r="A2" s="72" t="s">
        <v>42</v>
      </c>
      <c r="B2" s="72"/>
      <c r="C2" s="72"/>
      <c r="D2" s="72"/>
      <c r="E2" s="72"/>
      <c r="F2" s="72"/>
    </row>
    <row r="4" spans="1:6" ht="33" customHeight="1" x14ac:dyDescent="0.25">
      <c r="A4" s="25" t="s">
        <v>43</v>
      </c>
      <c r="B4" s="27" t="s">
        <v>35</v>
      </c>
      <c r="C4" s="27" t="s">
        <v>34</v>
      </c>
      <c r="D4" s="57" t="s">
        <v>44</v>
      </c>
      <c r="E4" s="57" t="s">
        <v>45</v>
      </c>
      <c r="F4" s="58" t="s">
        <v>68</v>
      </c>
    </row>
    <row r="5" spans="1:6" x14ac:dyDescent="0.25">
      <c r="A5" s="28">
        <v>42465</v>
      </c>
      <c r="B5" s="29">
        <v>1010</v>
      </c>
      <c r="C5" s="26" t="s">
        <v>17</v>
      </c>
      <c r="D5" s="83">
        <v>4</v>
      </c>
      <c r="E5" s="83">
        <v>525</v>
      </c>
      <c r="F5" s="82">
        <f>E5/D5</f>
        <v>131.25</v>
      </c>
    </row>
    <row r="6" spans="1:6" x14ac:dyDescent="0.25">
      <c r="A6" s="28">
        <v>42468</v>
      </c>
      <c r="B6" s="29">
        <v>1015</v>
      </c>
      <c r="C6" s="26" t="s">
        <v>17</v>
      </c>
      <c r="D6" s="83">
        <v>6</v>
      </c>
      <c r="E6" s="83">
        <v>850</v>
      </c>
      <c r="F6" s="82">
        <f t="shared" ref="F6:F19" si="0">E6/D6</f>
        <v>141.66666666666666</v>
      </c>
    </row>
    <row r="7" spans="1:6" x14ac:dyDescent="0.25">
      <c r="A7" s="28">
        <v>42471</v>
      </c>
      <c r="B7" s="29">
        <v>1146</v>
      </c>
      <c r="C7" s="26" t="s">
        <v>25</v>
      </c>
      <c r="D7" s="83">
        <v>6</v>
      </c>
      <c r="E7" s="83">
        <v>500</v>
      </c>
      <c r="F7" s="82">
        <f t="shared" si="0"/>
        <v>83.333333333333329</v>
      </c>
    </row>
    <row r="8" spans="1:6" x14ac:dyDescent="0.25">
      <c r="A8" s="28">
        <v>42474</v>
      </c>
      <c r="B8" s="29">
        <v>1150</v>
      </c>
      <c r="C8" s="26" t="s">
        <v>27</v>
      </c>
      <c r="D8" s="83">
        <v>6</v>
      </c>
      <c r="E8" s="83">
        <v>525</v>
      </c>
      <c r="F8" s="82">
        <f t="shared" si="0"/>
        <v>87.5</v>
      </c>
    </row>
    <row r="9" spans="1:6" x14ac:dyDescent="0.25">
      <c r="A9" s="28">
        <v>42477</v>
      </c>
      <c r="B9" s="29">
        <v>1152</v>
      </c>
      <c r="C9" s="26" t="s">
        <v>27</v>
      </c>
      <c r="D9" s="83">
        <v>4</v>
      </c>
      <c r="E9" s="83">
        <v>325</v>
      </c>
      <c r="F9" s="82">
        <f t="shared" si="0"/>
        <v>81.25</v>
      </c>
    </row>
    <row r="10" spans="1:6" x14ac:dyDescent="0.25">
      <c r="A10" s="28">
        <v>42480</v>
      </c>
      <c r="B10" s="29">
        <v>1164</v>
      </c>
      <c r="C10" s="26" t="s">
        <v>27</v>
      </c>
      <c r="D10" s="83">
        <v>3</v>
      </c>
      <c r="E10" s="83">
        <v>475</v>
      </c>
      <c r="F10" s="82">
        <f t="shared" si="0"/>
        <v>158.33333333333334</v>
      </c>
    </row>
    <row r="11" spans="1:6" x14ac:dyDescent="0.25">
      <c r="A11" s="28">
        <v>42483</v>
      </c>
      <c r="B11" s="29">
        <v>1168</v>
      </c>
      <c r="C11" s="26" t="s">
        <v>25</v>
      </c>
      <c r="D11" s="83">
        <v>6</v>
      </c>
      <c r="E11" s="83">
        <v>725</v>
      </c>
      <c r="F11" s="82">
        <f t="shared" si="0"/>
        <v>120.83333333333333</v>
      </c>
    </row>
    <row r="12" spans="1:6" x14ac:dyDescent="0.25">
      <c r="A12" s="28">
        <v>42486</v>
      </c>
      <c r="B12" s="29">
        <v>1175</v>
      </c>
      <c r="C12" s="26" t="s">
        <v>21</v>
      </c>
      <c r="D12" s="83">
        <v>10</v>
      </c>
      <c r="E12" s="83">
        <v>850</v>
      </c>
      <c r="F12" s="82">
        <f t="shared" si="0"/>
        <v>85</v>
      </c>
    </row>
    <row r="13" spans="1:6" x14ac:dyDescent="0.25">
      <c r="A13" s="28">
        <v>42489</v>
      </c>
      <c r="B13" s="29">
        <v>1180</v>
      </c>
      <c r="C13" s="26" t="s">
        <v>23</v>
      </c>
      <c r="D13" s="83">
        <v>8</v>
      </c>
      <c r="E13" s="83">
        <v>350</v>
      </c>
      <c r="F13" s="82">
        <f t="shared" si="0"/>
        <v>43.75</v>
      </c>
    </row>
    <row r="14" spans="1:6" x14ac:dyDescent="0.25">
      <c r="A14" s="28">
        <v>42492</v>
      </c>
      <c r="B14" s="29">
        <v>1185</v>
      </c>
      <c r="C14" s="26" t="s">
        <v>19</v>
      </c>
      <c r="D14" s="83">
        <v>8</v>
      </c>
      <c r="E14" s="83">
        <v>650</v>
      </c>
      <c r="F14" s="82">
        <f t="shared" si="0"/>
        <v>81.25</v>
      </c>
    </row>
    <row r="15" spans="1:6" x14ac:dyDescent="0.25">
      <c r="A15" s="28">
        <v>42495</v>
      </c>
      <c r="B15" s="29">
        <v>1190</v>
      </c>
      <c r="C15" s="26" t="s">
        <v>23</v>
      </c>
      <c r="D15" s="83">
        <v>10</v>
      </c>
      <c r="E15" s="83">
        <v>625</v>
      </c>
      <c r="F15" s="82">
        <f t="shared" si="0"/>
        <v>62.5</v>
      </c>
    </row>
    <row r="16" spans="1:6" x14ac:dyDescent="0.25">
      <c r="A16" s="28">
        <v>42498</v>
      </c>
      <c r="B16" s="29">
        <v>1200</v>
      </c>
      <c r="C16" s="26" t="s">
        <v>23</v>
      </c>
      <c r="D16" s="83">
        <v>8</v>
      </c>
      <c r="E16" s="83">
        <v>725</v>
      </c>
      <c r="F16" s="82">
        <f t="shared" si="0"/>
        <v>90.625</v>
      </c>
    </row>
    <row r="17" spans="1:6" x14ac:dyDescent="0.25">
      <c r="A17" s="28">
        <v>42501</v>
      </c>
      <c r="B17" s="29">
        <v>1205</v>
      </c>
      <c r="C17" s="26" t="s">
        <v>21</v>
      </c>
      <c r="D17" s="83">
        <v>12</v>
      </c>
      <c r="E17" s="83">
        <v>850</v>
      </c>
      <c r="F17" s="82">
        <f t="shared" si="0"/>
        <v>70.833333333333329</v>
      </c>
    </row>
    <row r="18" spans="1:6" x14ac:dyDescent="0.25">
      <c r="A18" s="28">
        <v>42504</v>
      </c>
      <c r="B18" s="29">
        <v>1225</v>
      </c>
      <c r="C18" s="26" t="s">
        <v>19</v>
      </c>
      <c r="D18" s="83">
        <v>8</v>
      </c>
      <c r="E18" s="83">
        <v>725</v>
      </c>
      <c r="F18" s="82">
        <f t="shared" si="0"/>
        <v>90.625</v>
      </c>
    </row>
    <row r="19" spans="1:6" x14ac:dyDescent="0.25">
      <c r="A19" s="28">
        <v>42507</v>
      </c>
      <c r="B19" s="29">
        <v>1230</v>
      </c>
      <c r="C19" s="26" t="s">
        <v>17</v>
      </c>
      <c r="D19" s="83">
        <v>6</v>
      </c>
      <c r="E19" s="83">
        <v>675</v>
      </c>
      <c r="F19" s="82">
        <f t="shared" si="0"/>
        <v>112.5</v>
      </c>
    </row>
    <row r="25" spans="1:6" ht="21" customHeight="1" x14ac:dyDescent="0.35">
      <c r="C25" s="70" t="s">
        <v>46</v>
      </c>
      <c r="D25" s="70"/>
      <c r="E25" s="70"/>
    </row>
    <row r="26" spans="1:6" ht="30" x14ac:dyDescent="0.25">
      <c r="C26" s="25"/>
      <c r="D26" s="59" t="s">
        <v>47</v>
      </c>
      <c r="E26" s="58" t="s">
        <v>69</v>
      </c>
    </row>
    <row r="27" spans="1:6" x14ac:dyDescent="0.25">
      <c r="C27" s="26" t="s">
        <v>48</v>
      </c>
      <c r="D27" s="84">
        <f>COUNTIF(C5:C19, "*BEN*")</f>
        <v>5</v>
      </c>
      <c r="E27" s="83">
        <f>SUMIF(C5:C19, "*ben*", E5:E19)</f>
        <v>3400</v>
      </c>
    </row>
    <row r="28" spans="1:6" x14ac:dyDescent="0.25">
      <c r="C28" s="26" t="s">
        <v>27</v>
      </c>
      <c r="D28" s="85">
        <f>COUNTIF(C5:C19, "*cap*")</f>
        <v>3</v>
      </c>
      <c r="E28" s="83">
        <f>SUMIF(C5:C19, "*cap*", E5:E19)</f>
        <v>1325</v>
      </c>
    </row>
    <row r="29" spans="1:6" x14ac:dyDescent="0.25">
      <c r="C29" s="26" t="s">
        <v>17</v>
      </c>
      <c r="D29" s="85">
        <f>COUNTIF(C5:C19,"*cat*")</f>
        <v>3</v>
      </c>
      <c r="E29" s="83">
        <f>SUMIF(C5:C19, "*cat*", E5:E19)</f>
        <v>2050</v>
      </c>
    </row>
    <row r="30" spans="1:6" x14ac:dyDescent="0.25">
      <c r="C30" s="26" t="s">
        <v>49</v>
      </c>
      <c r="D30" s="85">
        <f>COUNTIF(C5:C19,"*Hun*")</f>
        <v>4</v>
      </c>
      <c r="E30" s="83">
        <f>SUMIF(C5:C19, "*hun*", E5:E19)</f>
        <v>2600</v>
      </c>
    </row>
  </sheetData>
  <mergeCells count="3">
    <mergeCell ref="C25:E25"/>
    <mergeCell ref="A1:F1"/>
    <mergeCell ref="A2:F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6"/>
  <sheetViews>
    <sheetView topLeftCell="A16" zoomScaleNormal="100" workbookViewId="0">
      <selection activeCell="E28" sqref="E28"/>
    </sheetView>
  </sheetViews>
  <sheetFormatPr defaultRowHeight="15" x14ac:dyDescent="0.25"/>
  <cols>
    <col min="1" max="1" width="25" style="1" bestFit="1" customWidth="1"/>
    <col min="2" max="3" width="10.140625" style="1" bestFit="1" customWidth="1"/>
    <col min="4" max="4" width="10.5703125" style="1" customWidth="1"/>
    <col min="5" max="6" width="10.140625" style="1" bestFit="1" customWidth="1"/>
    <col min="7" max="7" width="10.85546875" style="1" bestFit="1" customWidth="1"/>
    <col min="8" max="8" width="11.140625" style="1" bestFit="1" customWidth="1"/>
    <col min="9" max="9" width="19.7109375" style="1" bestFit="1" customWidth="1"/>
    <col min="10" max="16384" width="9.140625" style="1"/>
  </cols>
  <sheetData>
    <row r="1" spans="1:8" ht="22.5" customHeight="1" x14ac:dyDescent="0.35">
      <c r="A1" s="73" t="s">
        <v>1</v>
      </c>
      <c r="B1" s="73"/>
      <c r="C1" s="73"/>
      <c r="D1" s="73"/>
      <c r="E1" s="73"/>
      <c r="F1" s="73"/>
      <c r="G1" s="73"/>
      <c r="H1" s="73"/>
    </row>
    <row r="2" spans="1:8" ht="22.5" customHeight="1" x14ac:dyDescent="0.25">
      <c r="A2" s="74" t="s">
        <v>12</v>
      </c>
      <c r="B2" s="74"/>
      <c r="C2" s="74"/>
      <c r="D2" s="74"/>
      <c r="E2" s="74"/>
      <c r="F2" s="74"/>
      <c r="G2" s="74"/>
      <c r="H2" s="74"/>
    </row>
    <row r="3" spans="1:8" ht="11.25" customHeight="1" x14ac:dyDescent="0.25"/>
    <row r="4" spans="1:8" ht="21" customHeight="1" x14ac:dyDescent="0.25">
      <c r="A4" s="7" t="s">
        <v>9</v>
      </c>
      <c r="B4" s="10" t="s">
        <v>3</v>
      </c>
      <c r="C4" s="10" t="s">
        <v>4</v>
      </c>
      <c r="D4" s="10" t="s">
        <v>5</v>
      </c>
      <c r="E4" s="10" t="s">
        <v>13</v>
      </c>
      <c r="F4" s="10" t="s">
        <v>14</v>
      </c>
      <c r="G4" s="10" t="s">
        <v>15</v>
      </c>
      <c r="H4" s="10" t="s">
        <v>0</v>
      </c>
    </row>
    <row r="5" spans="1:8" ht="18.75" customHeight="1" x14ac:dyDescent="0.25">
      <c r="A5" s="8" t="s">
        <v>2</v>
      </c>
      <c r="B5" s="5">
        <v>7660.125</v>
      </c>
      <c r="C5" s="5">
        <v>7741.125</v>
      </c>
      <c r="D5" s="5">
        <v>8123.8</v>
      </c>
      <c r="E5" s="5">
        <v>4500</v>
      </c>
      <c r="F5" s="5">
        <v>3250</v>
      </c>
      <c r="G5" s="5">
        <v>1225.75</v>
      </c>
      <c r="H5" s="5">
        <f t="shared" ref="H5:H9" si="0">SUM(B5:G5)</f>
        <v>32500.799999999999</v>
      </c>
    </row>
    <row r="6" spans="1:8" ht="18.75" customHeight="1" x14ac:dyDescent="0.25">
      <c r="A6" s="8" t="s">
        <v>11</v>
      </c>
      <c r="B6" s="5">
        <v>11819.925000000001</v>
      </c>
      <c r="C6" s="5">
        <v>10456.34</v>
      </c>
      <c r="D6" s="5">
        <v>12043.125</v>
      </c>
      <c r="E6" s="5">
        <v>11803.275000000001</v>
      </c>
      <c r="F6" s="5">
        <v>11879.775000000001</v>
      </c>
      <c r="G6" s="5">
        <v>12226.275</v>
      </c>
      <c r="H6" s="5">
        <f t="shared" si="0"/>
        <v>70228.714999999997</v>
      </c>
    </row>
    <row r="7" spans="1:8" ht="18.75" customHeight="1" x14ac:dyDescent="0.25">
      <c r="A7" s="8" t="s">
        <v>6</v>
      </c>
      <c r="B7" s="5">
        <v>15192.225000000002</v>
      </c>
      <c r="C7" s="5">
        <v>13070.474999999999</v>
      </c>
      <c r="D7" s="5">
        <v>12957.300000000001</v>
      </c>
      <c r="E7" s="5">
        <v>13039.875</v>
      </c>
      <c r="F7" s="5">
        <v>15318.224999999999</v>
      </c>
      <c r="G7" s="5">
        <v>16876.125</v>
      </c>
      <c r="H7" s="5">
        <f t="shared" si="0"/>
        <v>86454.225000000006</v>
      </c>
    </row>
    <row r="8" spans="1:8" ht="18.75" customHeight="1" x14ac:dyDescent="0.25">
      <c r="A8" s="8" t="s">
        <v>7</v>
      </c>
      <c r="B8" s="5">
        <v>4478.1749999999993</v>
      </c>
      <c r="C8" s="5">
        <v>4708.125</v>
      </c>
      <c r="D8" s="5">
        <v>4475.25</v>
      </c>
      <c r="E8" s="5">
        <v>5153.625</v>
      </c>
      <c r="F8" s="5">
        <v>5514.5249999999996</v>
      </c>
      <c r="G8" s="5">
        <v>7919.5500000000011</v>
      </c>
      <c r="H8" s="5">
        <f t="shared" si="0"/>
        <v>32249.25</v>
      </c>
    </row>
    <row r="9" spans="1:8" ht="18.75" customHeight="1" x14ac:dyDescent="0.25">
      <c r="A9" s="8" t="s">
        <v>10</v>
      </c>
      <c r="B9" s="5">
        <v>1025</v>
      </c>
      <c r="C9" s="5">
        <v>1575.35</v>
      </c>
      <c r="D9" s="5">
        <v>1750</v>
      </c>
      <c r="E9" s="5">
        <v>1125.45</v>
      </c>
      <c r="F9" s="5">
        <v>725</v>
      </c>
      <c r="G9" s="5">
        <v>935.25</v>
      </c>
      <c r="H9" s="5">
        <f t="shared" si="0"/>
        <v>7136.05</v>
      </c>
    </row>
    <row r="10" spans="1:8" ht="20.25" customHeight="1" x14ac:dyDescent="0.25">
      <c r="A10" s="9" t="s">
        <v>8</v>
      </c>
      <c r="B10" s="6">
        <f t="shared" ref="B10:H10" si="1">SUM(B5:B9)</f>
        <v>40175.450000000012</v>
      </c>
      <c r="C10" s="6">
        <f t="shared" si="1"/>
        <v>37551.415000000001</v>
      </c>
      <c r="D10" s="6">
        <f t="shared" si="1"/>
        <v>39349.474999999999</v>
      </c>
      <c r="E10" s="6">
        <f t="shared" si="1"/>
        <v>35622.224999999999</v>
      </c>
      <c r="F10" s="6">
        <f t="shared" si="1"/>
        <v>36687.525000000001</v>
      </c>
      <c r="G10" s="6">
        <f t="shared" si="1"/>
        <v>39182.950000000004</v>
      </c>
      <c r="H10" s="6">
        <f t="shared" si="1"/>
        <v>228569.03999999998</v>
      </c>
    </row>
    <row r="14" spans="1:8" x14ac:dyDescent="0.25">
      <c r="B14" s="2"/>
      <c r="C14" s="2"/>
      <c r="D14" s="2"/>
      <c r="E14" s="2"/>
      <c r="F14" s="2"/>
      <c r="G14" s="2"/>
      <c r="H14" s="2"/>
    </row>
    <row r="15" spans="1:8" x14ac:dyDescent="0.25">
      <c r="B15" s="2"/>
      <c r="C15" s="2"/>
      <c r="D15" s="2"/>
      <c r="E15" s="2"/>
      <c r="F15" s="2"/>
      <c r="G15" s="2"/>
      <c r="H15" s="2"/>
    </row>
    <row r="16" spans="1:8" x14ac:dyDescent="0.25">
      <c r="B16" s="2"/>
      <c r="C16" s="2"/>
      <c r="D16" s="2"/>
      <c r="E16" s="2"/>
      <c r="F16" s="2"/>
      <c r="G16" s="2"/>
      <c r="H16" s="2"/>
    </row>
    <row r="17" spans="2:8" x14ac:dyDescent="0.25"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2" spans="2:8" x14ac:dyDescent="0.25">
      <c r="B22" s="3"/>
      <c r="C22" s="3"/>
      <c r="D22" s="3"/>
      <c r="E22" s="3"/>
      <c r="F22" s="3"/>
      <c r="G22" s="3"/>
      <c r="H22" s="3"/>
    </row>
    <row r="23" spans="2:8" x14ac:dyDescent="0.25">
      <c r="B23" s="3"/>
      <c r="C23" s="3"/>
      <c r="D23" s="3"/>
      <c r="E23" s="3"/>
      <c r="F23" s="3"/>
      <c r="G23" s="3"/>
      <c r="H23" s="3"/>
    </row>
    <row r="24" spans="2:8" x14ac:dyDescent="0.25">
      <c r="B24" s="3"/>
      <c r="C24" s="3"/>
      <c r="D24" s="3"/>
      <c r="E24" s="3"/>
      <c r="F24" s="3"/>
      <c r="G24" s="3"/>
      <c r="H24" s="3"/>
    </row>
    <row r="25" spans="2:8" x14ac:dyDescent="0.25">
      <c r="B25" s="3"/>
      <c r="C25" s="3"/>
      <c r="D25" s="3"/>
      <c r="E25" s="3"/>
      <c r="F25" s="3"/>
      <c r="G25" s="3"/>
      <c r="H25" s="3"/>
    </row>
    <row r="26" spans="2:8" x14ac:dyDescent="0.25">
      <c r="B26" s="3"/>
      <c r="C26" s="3"/>
      <c r="D26" s="3"/>
      <c r="E26" s="3"/>
      <c r="F26" s="3"/>
      <c r="G26" s="3"/>
      <c r="H26" s="3"/>
    </row>
    <row r="27" spans="2:8" x14ac:dyDescent="0.25">
      <c r="B27" s="3"/>
      <c r="C27" s="3"/>
      <c r="D27" s="3"/>
      <c r="E27" s="3"/>
      <c r="F27" s="3"/>
      <c r="G27" s="3"/>
      <c r="H27" s="3"/>
    </row>
    <row r="29" spans="2:8" x14ac:dyDescent="0.25">
      <c r="B29" s="4"/>
      <c r="C29" s="4"/>
      <c r="D29" s="4"/>
      <c r="E29" s="4"/>
      <c r="F29" s="4"/>
      <c r="G29" s="4"/>
      <c r="H29" s="4"/>
    </row>
    <row r="30" spans="2:8" x14ac:dyDescent="0.25">
      <c r="B30" s="4"/>
      <c r="C30" s="4"/>
      <c r="D30" s="4"/>
      <c r="E30" s="4"/>
      <c r="F30" s="4"/>
      <c r="G30" s="4"/>
      <c r="H30" s="4"/>
    </row>
    <row r="31" spans="2:8" x14ac:dyDescent="0.25">
      <c r="B31" s="4"/>
      <c r="C31" s="4"/>
      <c r="D31" s="4"/>
      <c r="E31" s="4"/>
      <c r="F31" s="4"/>
      <c r="G31" s="4"/>
      <c r="H31" s="4"/>
    </row>
    <row r="32" spans="2:8" x14ac:dyDescent="0.25">
      <c r="B32" s="4"/>
      <c r="C32" s="4"/>
      <c r="D32" s="4"/>
      <c r="E32" s="4"/>
      <c r="F32" s="4"/>
      <c r="G32" s="4"/>
      <c r="H32" s="4"/>
    </row>
    <row r="33" spans="2:8" x14ac:dyDescent="0.25">
      <c r="B33" s="4"/>
      <c r="C33" s="4"/>
      <c r="D33" s="4"/>
      <c r="E33" s="4"/>
      <c r="F33" s="4"/>
      <c r="G33" s="4"/>
      <c r="H33" s="4"/>
    </row>
    <row r="34" spans="2:8" x14ac:dyDescent="0.25">
      <c r="B34" s="4"/>
      <c r="C34" s="4"/>
      <c r="D34" s="4"/>
      <c r="E34" s="4"/>
      <c r="F34" s="4"/>
      <c r="G34" s="4"/>
      <c r="H34" s="4"/>
    </row>
    <row r="35" spans="2:8" x14ac:dyDescent="0.25">
      <c r="B35" s="4"/>
      <c r="C35" s="4"/>
      <c r="D35" s="4"/>
      <c r="E35" s="4"/>
      <c r="F35" s="4"/>
      <c r="G35" s="4"/>
      <c r="H35" s="4"/>
    </row>
    <row r="36" spans="2:8" x14ac:dyDescent="0.25">
      <c r="B36" s="4"/>
      <c r="C36" s="4"/>
      <c r="D36" s="4"/>
      <c r="E36" s="4"/>
      <c r="F36" s="4"/>
      <c r="G36" s="4"/>
      <c r="H36" s="4"/>
    </row>
  </sheetData>
  <mergeCells count="2">
    <mergeCell ref="A1:H1"/>
    <mergeCell ref="A2:H2"/>
  </mergeCells>
  <printOptions horizontalCentered="1"/>
  <pageMargins left="0.75" right="0.75" top="0.75" bottom="0.75" header="0.3" footer="0.3"/>
  <pageSetup orientation="landscape" horizontalDpi="200" verticalDpi="2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E12B4727-969B-429B-B194-296D00F1E3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'Project 5'!A5:I5</xm:f>
              <xm:sqref>I5</xm:sqref>
            </x14:sparkline>
            <x14:sparkline>
              <xm:f>'Project 5'!A6:I6</xm:f>
              <xm:sqref>I6</xm:sqref>
            </x14:sparkline>
            <x14:sparkline>
              <xm:f>'Project 5'!A7:I7</xm:f>
              <xm:sqref>I7</xm:sqref>
            </x14:sparkline>
            <x14:sparkline>
              <xm:f>'Project 5'!A8:I8</xm:f>
              <xm:sqref>I8</xm:sqref>
            </x14:sparkline>
            <x14:sparkline>
              <xm:f>'Project 5'!A9:I9</xm:f>
              <xm:sqref>I9</xm:sqref>
            </x14:sparkline>
            <x14:sparkline>
              <xm:f>'Project 5'!A10:I10</xm:f>
              <xm:sqref>I10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42"/>
  <sheetViews>
    <sheetView topLeftCell="C1" zoomScale="90" zoomScaleNormal="90" workbookViewId="0">
      <pane ySplit="1" topLeftCell="A43" activePane="bottomLeft" state="frozen"/>
      <selection activeCell="C1" sqref="C1"/>
      <selection pane="bottomLeft" activeCell="P106" sqref="P106"/>
    </sheetView>
  </sheetViews>
  <sheetFormatPr defaultRowHeight="15" x14ac:dyDescent="0.25"/>
  <cols>
    <col min="1" max="1" width="13.28515625" hidden="1" customWidth="1"/>
    <col min="2" max="2" width="13.5703125" hidden="1" customWidth="1"/>
    <col min="3" max="3" width="17" customWidth="1"/>
    <col min="4" max="4" width="10.85546875" bestFit="1" customWidth="1"/>
    <col min="5" max="5" width="27.42578125" bestFit="1" customWidth="1"/>
    <col min="6" max="6" width="12.28515625" bestFit="1" customWidth="1"/>
    <col min="7" max="7" width="8.7109375" bestFit="1" customWidth="1"/>
    <col min="8" max="8" width="11.140625" bestFit="1" customWidth="1"/>
    <col min="9" max="9" width="15.7109375" style="62" customWidth="1"/>
    <col min="10" max="10" width="12.85546875" bestFit="1" customWidth="1"/>
  </cols>
  <sheetData>
    <row r="1" spans="1:10" s="63" customFormat="1" x14ac:dyDescent="0.25">
      <c r="A1" s="63" t="s">
        <v>127</v>
      </c>
      <c r="B1" s="63" t="s">
        <v>128</v>
      </c>
      <c r="C1" s="63" t="s">
        <v>1284</v>
      </c>
      <c r="D1" s="63" t="s">
        <v>129</v>
      </c>
      <c r="E1" s="63" t="s">
        <v>52</v>
      </c>
      <c r="F1" s="63" t="s">
        <v>130</v>
      </c>
      <c r="G1" s="63" t="s">
        <v>131</v>
      </c>
      <c r="H1" s="63" t="s">
        <v>132</v>
      </c>
      <c r="I1" s="64" t="s">
        <v>133</v>
      </c>
      <c r="J1" s="63" t="s">
        <v>134</v>
      </c>
    </row>
    <row r="2" spans="1:10" x14ac:dyDescent="0.25">
      <c r="A2" t="s">
        <v>135</v>
      </c>
      <c r="B2" t="s">
        <v>136</v>
      </c>
      <c r="C2" t="str">
        <f>_xlfn.TEXTJOIN(",",TRUE, Employee[[#This Row],[Last Name]], Employee[[#This Row],[First Name]])</f>
        <v>Page, Lisa</v>
      </c>
      <c r="D2" t="s">
        <v>137</v>
      </c>
      <c r="E2" t="s">
        <v>138</v>
      </c>
      <c r="F2" s="61">
        <v>37249</v>
      </c>
      <c r="G2">
        <v>15</v>
      </c>
      <c r="H2" t="s">
        <v>139</v>
      </c>
      <c r="I2" s="62">
        <v>60981</v>
      </c>
      <c r="J2">
        <v>1</v>
      </c>
    </row>
    <row r="3" spans="1:10" hidden="1" x14ac:dyDescent="0.25">
      <c r="A3" t="s">
        <v>140</v>
      </c>
      <c r="B3" t="s">
        <v>141</v>
      </c>
      <c r="C3" t="str">
        <f>_xlfn.TEXTJOIN(",",TRUE, Employee[[#This Row],[Last Name]], Employee[[#This Row],[First Name]])</f>
        <v>Taylor, Hector</v>
      </c>
      <c r="D3" t="s">
        <v>137</v>
      </c>
      <c r="E3" t="s">
        <v>138</v>
      </c>
      <c r="F3" s="61">
        <v>41673</v>
      </c>
      <c r="G3">
        <v>3</v>
      </c>
      <c r="H3" t="s">
        <v>142</v>
      </c>
      <c r="I3" s="62">
        <v>60915</v>
      </c>
      <c r="J3">
        <v>4</v>
      </c>
    </row>
    <row r="4" spans="1:10" hidden="1" x14ac:dyDescent="0.25">
      <c r="A4" t="s">
        <v>143</v>
      </c>
      <c r="B4" t="s">
        <v>144</v>
      </c>
      <c r="C4" t="str">
        <f>_xlfn.TEXTJOIN(",",TRUE, Employee[[#This Row],[Last Name]], Employee[[#This Row],[First Name]])</f>
        <v>Dawson, Jonathan</v>
      </c>
      <c r="D4" t="s">
        <v>137</v>
      </c>
      <c r="E4" t="s">
        <v>138</v>
      </c>
      <c r="F4" s="61">
        <v>40225</v>
      </c>
      <c r="G4">
        <v>7</v>
      </c>
      <c r="H4" t="s">
        <v>145</v>
      </c>
      <c r="I4" s="62">
        <v>97071</v>
      </c>
      <c r="J4">
        <v>5</v>
      </c>
    </row>
    <row r="5" spans="1:10" hidden="1" x14ac:dyDescent="0.25">
      <c r="A5" t="s">
        <v>146</v>
      </c>
      <c r="B5" t="s">
        <v>147</v>
      </c>
      <c r="C5" t="str">
        <f>_xlfn.TEXTJOIN(",",TRUE, Employee[[#This Row],[Last Name]], Employee[[#This Row],[First Name]])</f>
        <v>Duran, Brian</v>
      </c>
      <c r="D5" t="s">
        <v>148</v>
      </c>
      <c r="E5" t="s">
        <v>138</v>
      </c>
      <c r="F5" s="61">
        <v>42229</v>
      </c>
      <c r="G5">
        <v>2</v>
      </c>
      <c r="H5" t="s">
        <v>145</v>
      </c>
      <c r="I5" s="62">
        <v>115421</v>
      </c>
      <c r="J5">
        <v>3</v>
      </c>
    </row>
    <row r="6" spans="1:10" hidden="1" x14ac:dyDescent="0.25">
      <c r="A6" t="s">
        <v>149</v>
      </c>
      <c r="B6" t="s">
        <v>150</v>
      </c>
      <c r="C6" t="str">
        <f>_xlfn.TEXTJOIN(",",TRUE, Employee[[#This Row],[Last Name]], Employee[[#This Row],[First Name]])</f>
        <v>Weber, Larry</v>
      </c>
      <c r="D6" t="s">
        <v>151</v>
      </c>
      <c r="E6" t="s">
        <v>138</v>
      </c>
      <c r="F6" s="61">
        <v>40525</v>
      </c>
      <c r="G6">
        <v>6</v>
      </c>
      <c r="H6" t="s">
        <v>152</v>
      </c>
      <c r="I6" s="62">
        <v>115547</v>
      </c>
      <c r="J6">
        <v>4</v>
      </c>
    </row>
    <row r="7" spans="1:10" hidden="1" x14ac:dyDescent="0.25">
      <c r="A7" t="s">
        <v>153</v>
      </c>
      <c r="B7" t="s">
        <v>154</v>
      </c>
      <c r="C7" t="str">
        <f>_xlfn.TEXTJOIN(",",TRUE, Employee[[#This Row],[Last Name]], Employee[[#This Row],[First Name]])</f>
        <v>Pratt, Erik</v>
      </c>
      <c r="D7" t="s">
        <v>155</v>
      </c>
      <c r="E7" t="s">
        <v>156</v>
      </c>
      <c r="F7" s="61">
        <v>39829</v>
      </c>
      <c r="G7">
        <v>8</v>
      </c>
      <c r="H7" t="s">
        <v>139</v>
      </c>
      <c r="I7" s="62">
        <v>69212</v>
      </c>
      <c r="J7">
        <v>2</v>
      </c>
    </row>
    <row r="8" spans="1:10" x14ac:dyDescent="0.25">
      <c r="A8" t="s">
        <v>157</v>
      </c>
      <c r="B8" t="s">
        <v>158</v>
      </c>
      <c r="C8" t="str">
        <f>_xlfn.TEXTJOIN(",",TRUE, Employee[[#This Row],[Last Name]], Employee[[#This Row],[First Name]])</f>
        <v>O'Connor, Kent</v>
      </c>
      <c r="D8" t="s">
        <v>148</v>
      </c>
      <c r="E8" t="s">
        <v>156</v>
      </c>
      <c r="F8" s="61">
        <v>37295</v>
      </c>
      <c r="G8">
        <v>15</v>
      </c>
      <c r="H8" t="s">
        <v>139</v>
      </c>
      <c r="I8" s="62">
        <v>120198</v>
      </c>
      <c r="J8">
        <v>1</v>
      </c>
    </row>
    <row r="9" spans="1:10" hidden="1" x14ac:dyDescent="0.25">
      <c r="A9" t="s">
        <v>159</v>
      </c>
      <c r="B9" t="s">
        <v>160</v>
      </c>
      <c r="C9" t="str">
        <f>_xlfn.TEXTJOIN(",",TRUE, Employee[[#This Row],[Last Name]], Employee[[#This Row],[First Name]])</f>
        <v>Spencer, Boyd</v>
      </c>
      <c r="D9" t="s">
        <v>161</v>
      </c>
      <c r="E9" t="s">
        <v>156</v>
      </c>
      <c r="F9" s="61">
        <v>40267</v>
      </c>
      <c r="G9">
        <v>7</v>
      </c>
      <c r="H9" t="s">
        <v>145</v>
      </c>
      <c r="I9" s="62">
        <v>107635</v>
      </c>
      <c r="J9">
        <v>5</v>
      </c>
    </row>
    <row r="10" spans="1:10" x14ac:dyDescent="0.25">
      <c r="A10" t="s">
        <v>162</v>
      </c>
      <c r="B10" t="s">
        <v>163</v>
      </c>
      <c r="C10" t="str">
        <f>_xlfn.TEXTJOIN(",",TRUE, Employee[[#This Row],[Last Name]], Employee[[#This Row],[First Name]])</f>
        <v>Wiggins, Frank</v>
      </c>
      <c r="D10" t="s">
        <v>155</v>
      </c>
      <c r="E10" t="s">
        <v>156</v>
      </c>
      <c r="F10" s="61">
        <v>37338</v>
      </c>
      <c r="G10">
        <v>15</v>
      </c>
      <c r="H10" t="s">
        <v>139</v>
      </c>
      <c r="I10" s="62">
        <v>113020</v>
      </c>
      <c r="J10">
        <v>1</v>
      </c>
    </row>
    <row r="11" spans="1:10" x14ac:dyDescent="0.25">
      <c r="A11" t="s">
        <v>164</v>
      </c>
      <c r="B11" t="s">
        <v>165</v>
      </c>
      <c r="C11" t="str">
        <f>_xlfn.TEXTJOIN(",",TRUE, Employee[[#This Row],[Last Name]], Employee[[#This Row],[First Name]])</f>
        <v>Tanner, Timothy</v>
      </c>
      <c r="D11" t="s">
        <v>148</v>
      </c>
      <c r="E11" t="s">
        <v>156</v>
      </c>
      <c r="F11" s="61">
        <v>38482</v>
      </c>
      <c r="G11">
        <v>12</v>
      </c>
      <c r="H11" t="s">
        <v>139</v>
      </c>
      <c r="I11" s="62">
        <v>82341</v>
      </c>
      <c r="J11">
        <v>4</v>
      </c>
    </row>
    <row r="12" spans="1:10" x14ac:dyDescent="0.25">
      <c r="A12" t="s">
        <v>166</v>
      </c>
      <c r="B12" t="s">
        <v>167</v>
      </c>
      <c r="C12" t="str">
        <f>_xlfn.TEXTJOIN(",",TRUE, Employee[[#This Row],[Last Name]], Employee[[#This Row],[First Name]])</f>
        <v>Strickland, Rajean</v>
      </c>
      <c r="D12" t="s">
        <v>161</v>
      </c>
      <c r="E12" t="s">
        <v>156</v>
      </c>
      <c r="F12" s="61">
        <v>38860</v>
      </c>
      <c r="G12">
        <v>11</v>
      </c>
      <c r="H12" t="s">
        <v>168</v>
      </c>
      <c r="I12" s="62">
        <v>98598</v>
      </c>
      <c r="J12">
        <v>3</v>
      </c>
    </row>
    <row r="13" spans="1:10" x14ac:dyDescent="0.25">
      <c r="A13" t="s">
        <v>169</v>
      </c>
      <c r="B13" t="s">
        <v>170</v>
      </c>
      <c r="C13" t="str">
        <f>_xlfn.TEXTJOIN(",",TRUE, Employee[[#This Row],[Last Name]], Employee[[#This Row],[First Name]])</f>
        <v>Chase, Troy</v>
      </c>
      <c r="D13" t="s">
        <v>161</v>
      </c>
      <c r="E13" t="s">
        <v>156</v>
      </c>
      <c r="F13" s="61">
        <v>39220</v>
      </c>
      <c r="G13">
        <v>10</v>
      </c>
      <c r="H13" t="s">
        <v>139</v>
      </c>
      <c r="I13" s="62">
        <v>46350</v>
      </c>
      <c r="J13">
        <v>4</v>
      </c>
    </row>
    <row r="14" spans="1:10" hidden="1" x14ac:dyDescent="0.25">
      <c r="A14" t="s">
        <v>171</v>
      </c>
      <c r="B14" t="s">
        <v>158</v>
      </c>
      <c r="C14" t="str">
        <f>_xlfn.TEXTJOIN(",",TRUE, Employee[[#This Row],[Last Name]], Employee[[#This Row],[First Name]])</f>
        <v>Brewer, Kent</v>
      </c>
      <c r="D14" t="s">
        <v>161</v>
      </c>
      <c r="E14" t="s">
        <v>156</v>
      </c>
      <c r="F14" s="61">
        <v>41857</v>
      </c>
      <c r="G14">
        <v>3</v>
      </c>
      <c r="H14" t="s">
        <v>142</v>
      </c>
      <c r="I14" s="62">
        <v>61076</v>
      </c>
      <c r="J14">
        <v>1</v>
      </c>
    </row>
    <row r="15" spans="1:10" hidden="1" x14ac:dyDescent="0.25">
      <c r="A15" t="s">
        <v>172</v>
      </c>
      <c r="B15" t="s">
        <v>173</v>
      </c>
      <c r="C15" t="str">
        <f>_xlfn.TEXTJOIN(",",TRUE, Employee[[#This Row],[Last Name]], Employee[[#This Row],[First Name]])</f>
        <v>Wilkins, Jesse</v>
      </c>
      <c r="D15" t="s">
        <v>155</v>
      </c>
      <c r="E15" t="s">
        <v>156</v>
      </c>
      <c r="F15" s="61">
        <v>42214</v>
      </c>
      <c r="G15">
        <v>2</v>
      </c>
      <c r="H15" t="s">
        <v>139</v>
      </c>
      <c r="I15" s="62">
        <v>107968</v>
      </c>
      <c r="J15">
        <v>5</v>
      </c>
    </row>
    <row r="16" spans="1:10" x14ac:dyDescent="0.25">
      <c r="A16" t="s">
        <v>174</v>
      </c>
      <c r="B16" t="s">
        <v>175</v>
      </c>
      <c r="C16" t="str">
        <f>_xlfn.TEXTJOIN(",",TRUE, Employee[[#This Row],[Last Name]], Employee[[#This Row],[First Name]])</f>
        <v>White, Daniel</v>
      </c>
      <c r="D16" t="s">
        <v>151</v>
      </c>
      <c r="E16" t="s">
        <v>156</v>
      </c>
      <c r="F16" s="61">
        <v>37842</v>
      </c>
      <c r="G16">
        <v>14</v>
      </c>
      <c r="H16" t="s">
        <v>168</v>
      </c>
      <c r="I16" s="62">
        <v>102146</v>
      </c>
      <c r="J16">
        <v>4</v>
      </c>
    </row>
    <row r="17" spans="1:10" hidden="1" x14ac:dyDescent="0.25">
      <c r="A17" t="s">
        <v>176</v>
      </c>
      <c r="B17" t="s">
        <v>177</v>
      </c>
      <c r="C17" t="str">
        <f>_xlfn.TEXTJOIN(",",TRUE, Employee[[#This Row],[Last Name]], Employee[[#This Row],[First Name]])</f>
        <v>Holland, Donald</v>
      </c>
      <c r="D17" t="s">
        <v>178</v>
      </c>
      <c r="E17" t="s">
        <v>156</v>
      </c>
      <c r="F17" s="61">
        <v>41865</v>
      </c>
      <c r="G17">
        <v>3</v>
      </c>
      <c r="H17" t="s">
        <v>139</v>
      </c>
      <c r="I17" s="62">
        <v>46009</v>
      </c>
      <c r="J17">
        <v>3</v>
      </c>
    </row>
    <row r="18" spans="1:10" x14ac:dyDescent="0.25">
      <c r="A18" t="s">
        <v>179</v>
      </c>
      <c r="B18" t="s">
        <v>180</v>
      </c>
      <c r="C18" t="str">
        <f>_xlfn.TEXTJOIN(",",TRUE, Employee[[#This Row],[Last Name]], Employee[[#This Row],[First Name]])</f>
        <v>Rowe, Ken</v>
      </c>
      <c r="D18" t="s">
        <v>137</v>
      </c>
      <c r="E18" t="s">
        <v>156</v>
      </c>
      <c r="F18" s="61">
        <v>37855</v>
      </c>
      <c r="G18">
        <v>14</v>
      </c>
      <c r="H18" t="s">
        <v>145</v>
      </c>
      <c r="I18" s="62">
        <v>53399</v>
      </c>
      <c r="J18">
        <v>3</v>
      </c>
    </row>
    <row r="19" spans="1:10" hidden="1" x14ac:dyDescent="0.25">
      <c r="A19" t="s">
        <v>181</v>
      </c>
      <c r="B19" t="s">
        <v>182</v>
      </c>
      <c r="C19" t="str">
        <f>_xlfn.TEXTJOIN(",",TRUE, Employee[[#This Row],[Last Name]], Employee[[#This Row],[First Name]])</f>
        <v>Burton, Cam</v>
      </c>
      <c r="D19" t="s">
        <v>137</v>
      </c>
      <c r="E19" t="s">
        <v>156</v>
      </c>
      <c r="F19" s="61">
        <v>40782</v>
      </c>
      <c r="G19">
        <v>6</v>
      </c>
      <c r="H19" t="s">
        <v>168</v>
      </c>
      <c r="I19" s="62">
        <v>45419</v>
      </c>
      <c r="J19">
        <v>5</v>
      </c>
    </row>
    <row r="20" spans="1:10" hidden="1" x14ac:dyDescent="0.25">
      <c r="A20" t="s">
        <v>183</v>
      </c>
      <c r="B20" t="s">
        <v>184</v>
      </c>
      <c r="C20" t="str">
        <f>_xlfn.TEXTJOIN(",",TRUE, Employee[[#This Row],[Last Name]], Employee[[#This Row],[First Name]])</f>
        <v>Phillips, Liesl</v>
      </c>
      <c r="D20" t="s">
        <v>178</v>
      </c>
      <c r="E20" t="s">
        <v>156</v>
      </c>
      <c r="F20" s="61">
        <v>40107</v>
      </c>
      <c r="G20">
        <v>7</v>
      </c>
      <c r="H20" t="s">
        <v>185</v>
      </c>
      <c r="I20" s="62">
        <v>69038</v>
      </c>
      <c r="J20">
        <v>2</v>
      </c>
    </row>
    <row r="21" spans="1:10" hidden="1" x14ac:dyDescent="0.25">
      <c r="A21" t="s">
        <v>186</v>
      </c>
      <c r="B21" t="s">
        <v>187</v>
      </c>
      <c r="C21" t="str">
        <f>_xlfn.TEXTJOIN(",",TRUE, Employee[[#This Row],[Last Name]], Employee[[#This Row],[First Name]])</f>
        <v>Gallagher, Johnson</v>
      </c>
      <c r="D21" t="s">
        <v>137</v>
      </c>
      <c r="E21" t="s">
        <v>156</v>
      </c>
      <c r="F21" s="61">
        <v>41204</v>
      </c>
      <c r="G21">
        <v>4</v>
      </c>
      <c r="H21" t="s">
        <v>145</v>
      </c>
      <c r="I21" s="62">
        <v>46163</v>
      </c>
      <c r="J21">
        <v>4</v>
      </c>
    </row>
    <row r="22" spans="1:10" x14ac:dyDescent="0.25">
      <c r="A22" t="s">
        <v>188</v>
      </c>
      <c r="B22" t="s">
        <v>189</v>
      </c>
      <c r="C22" t="str">
        <f>_xlfn.TEXTJOIN(",",TRUE, Employee[[#This Row],[Last Name]], Employee[[#This Row],[First Name]])</f>
        <v>Wolf, Debbie</v>
      </c>
      <c r="D22" t="s">
        <v>148</v>
      </c>
      <c r="E22" t="s">
        <v>156</v>
      </c>
      <c r="F22" s="61">
        <v>37221</v>
      </c>
      <c r="G22">
        <v>15</v>
      </c>
      <c r="H22" t="s">
        <v>185</v>
      </c>
      <c r="I22" s="62">
        <v>70990</v>
      </c>
      <c r="J22">
        <v>5</v>
      </c>
    </row>
    <row r="23" spans="1:10" hidden="1" x14ac:dyDescent="0.25">
      <c r="A23" t="s">
        <v>190</v>
      </c>
      <c r="B23" t="s">
        <v>191</v>
      </c>
      <c r="C23" t="str">
        <f>_xlfn.TEXTJOIN(",",TRUE, Employee[[#This Row],[Last Name]], Employee[[#This Row],[First Name]])</f>
        <v>Todd, Steven</v>
      </c>
      <c r="D23" t="s">
        <v>151</v>
      </c>
      <c r="E23" t="s">
        <v>156</v>
      </c>
      <c r="F23" s="61">
        <v>40147</v>
      </c>
      <c r="G23">
        <v>7</v>
      </c>
      <c r="H23" t="s">
        <v>152</v>
      </c>
      <c r="I23" s="62">
        <v>45315</v>
      </c>
      <c r="J23">
        <v>3</v>
      </c>
    </row>
    <row r="24" spans="1:10" hidden="1" x14ac:dyDescent="0.25">
      <c r="A24" t="s">
        <v>192</v>
      </c>
      <c r="B24" t="s">
        <v>193</v>
      </c>
      <c r="C24" t="str">
        <f>_xlfn.TEXTJOIN(",",TRUE, Employee[[#This Row],[Last Name]], Employee[[#This Row],[First Name]])</f>
        <v>McKenzie, Michelle</v>
      </c>
      <c r="D24" t="s">
        <v>161</v>
      </c>
      <c r="E24" t="s">
        <v>194</v>
      </c>
      <c r="F24" s="61">
        <v>39824</v>
      </c>
      <c r="G24">
        <v>8</v>
      </c>
      <c r="H24" t="s">
        <v>185</v>
      </c>
      <c r="I24" s="62">
        <v>102687</v>
      </c>
      <c r="J24">
        <v>2</v>
      </c>
    </row>
    <row r="25" spans="1:10" x14ac:dyDescent="0.25">
      <c r="A25" t="s">
        <v>195</v>
      </c>
      <c r="B25" t="s">
        <v>196</v>
      </c>
      <c r="C25" t="str">
        <f>_xlfn.TEXTJOIN(",",TRUE, Employee[[#This Row],[Last Name]], Employee[[#This Row],[First Name]])</f>
        <v>Thornton, Charles</v>
      </c>
      <c r="D25" t="s">
        <v>137</v>
      </c>
      <c r="E25" t="s">
        <v>194</v>
      </c>
      <c r="F25" s="61">
        <v>37971</v>
      </c>
      <c r="G25">
        <v>13</v>
      </c>
      <c r="H25" t="s">
        <v>185</v>
      </c>
      <c r="I25" s="62">
        <v>121213</v>
      </c>
      <c r="J25">
        <v>3</v>
      </c>
    </row>
    <row r="26" spans="1:10" x14ac:dyDescent="0.25">
      <c r="A26" t="s">
        <v>197</v>
      </c>
      <c r="B26" t="s">
        <v>198</v>
      </c>
      <c r="C26" t="str">
        <f>_xlfn.TEXTJOIN(",",TRUE, Employee[[#This Row],[Last Name]], Employee[[#This Row],[First Name]])</f>
        <v>Dunn, Matthew</v>
      </c>
      <c r="D26" t="s">
        <v>155</v>
      </c>
      <c r="E26" t="s">
        <v>194</v>
      </c>
      <c r="F26" s="61">
        <v>37292</v>
      </c>
      <c r="G26">
        <v>15</v>
      </c>
      <c r="H26" t="s">
        <v>168</v>
      </c>
      <c r="I26" s="62">
        <v>74666</v>
      </c>
      <c r="J26">
        <v>1</v>
      </c>
    </row>
    <row r="27" spans="1:10" x14ac:dyDescent="0.25">
      <c r="A27" t="s">
        <v>199</v>
      </c>
      <c r="B27" t="s">
        <v>200</v>
      </c>
      <c r="C27" t="str">
        <f>_xlfn.TEXTJOIN(",",TRUE, Employee[[#This Row],[Last Name]], Employee[[#This Row],[First Name]])</f>
        <v>Potter, Dawn</v>
      </c>
      <c r="D27" t="s">
        <v>148</v>
      </c>
      <c r="E27" t="s">
        <v>194</v>
      </c>
      <c r="F27" s="61">
        <v>39129</v>
      </c>
      <c r="G27">
        <v>10</v>
      </c>
      <c r="H27" t="s">
        <v>139</v>
      </c>
      <c r="I27" s="62">
        <v>90032</v>
      </c>
      <c r="J27">
        <v>1</v>
      </c>
    </row>
    <row r="28" spans="1:10" x14ac:dyDescent="0.25">
      <c r="A28" t="s">
        <v>201</v>
      </c>
      <c r="B28" t="s">
        <v>202</v>
      </c>
      <c r="C28" t="str">
        <f>_xlfn.TEXTJOIN(",",TRUE, Employee[[#This Row],[Last Name]], Employee[[#This Row],[First Name]])</f>
        <v>Carroll, Lesa</v>
      </c>
      <c r="D28" t="s">
        <v>137</v>
      </c>
      <c r="E28" t="s">
        <v>194</v>
      </c>
      <c r="F28" s="61">
        <v>37697</v>
      </c>
      <c r="G28">
        <v>14</v>
      </c>
      <c r="H28" t="s">
        <v>152</v>
      </c>
      <c r="I28" s="62">
        <v>43469</v>
      </c>
      <c r="J28">
        <v>1</v>
      </c>
    </row>
    <row r="29" spans="1:10" hidden="1" x14ac:dyDescent="0.25">
      <c r="A29" t="s">
        <v>203</v>
      </c>
      <c r="B29" t="s">
        <v>204</v>
      </c>
      <c r="C29" t="str">
        <f>_xlfn.TEXTJOIN(",",TRUE, Employee[[#This Row],[Last Name]], Employee[[#This Row],[First Name]])</f>
        <v>Fleming, Irv</v>
      </c>
      <c r="D29" t="s">
        <v>137</v>
      </c>
      <c r="E29" t="s">
        <v>194</v>
      </c>
      <c r="F29" s="61">
        <v>39929</v>
      </c>
      <c r="G29">
        <v>8</v>
      </c>
      <c r="H29" t="s">
        <v>139</v>
      </c>
      <c r="I29" s="62">
        <v>68870</v>
      </c>
      <c r="J29">
        <v>1</v>
      </c>
    </row>
    <row r="30" spans="1:10" hidden="1" x14ac:dyDescent="0.25">
      <c r="A30" t="s">
        <v>205</v>
      </c>
      <c r="B30" t="s">
        <v>206</v>
      </c>
      <c r="C30" t="str">
        <f>_xlfn.TEXTJOIN(",",TRUE, Employee[[#This Row],[Last Name]], Employee[[#This Row],[First Name]])</f>
        <v>Nguyen, Dennis</v>
      </c>
      <c r="D30" t="s">
        <v>161</v>
      </c>
      <c r="E30" t="s">
        <v>194</v>
      </c>
      <c r="F30" s="61">
        <v>40039</v>
      </c>
      <c r="G30">
        <v>8</v>
      </c>
      <c r="H30" t="s">
        <v>145</v>
      </c>
      <c r="I30" s="62">
        <v>113141</v>
      </c>
      <c r="J30">
        <v>4</v>
      </c>
    </row>
    <row r="31" spans="1:10" hidden="1" x14ac:dyDescent="0.25">
      <c r="A31" t="s">
        <v>207</v>
      </c>
      <c r="B31" t="s">
        <v>208</v>
      </c>
      <c r="C31" t="str">
        <f>_xlfn.TEXTJOIN(",",TRUE, Employee[[#This Row],[Last Name]], Employee[[#This Row],[First Name]])</f>
        <v>Blair, Sperry</v>
      </c>
      <c r="D31" t="s">
        <v>137</v>
      </c>
      <c r="E31" t="s">
        <v>194</v>
      </c>
      <c r="F31" s="61">
        <v>41184</v>
      </c>
      <c r="G31">
        <v>5</v>
      </c>
      <c r="H31" t="s">
        <v>142</v>
      </c>
      <c r="I31" s="62">
        <v>104719</v>
      </c>
      <c r="J31">
        <v>3</v>
      </c>
    </row>
    <row r="32" spans="1:10" hidden="1" x14ac:dyDescent="0.25">
      <c r="A32" t="s">
        <v>209</v>
      </c>
      <c r="B32" t="s">
        <v>210</v>
      </c>
      <c r="C32" t="str">
        <f>_xlfn.TEXTJOIN(",",TRUE, Employee[[#This Row],[Last Name]], Employee[[#This Row],[First Name]])</f>
        <v>Wyatt, Kelly</v>
      </c>
      <c r="D32" t="s">
        <v>137</v>
      </c>
      <c r="E32" t="s">
        <v>194</v>
      </c>
      <c r="F32" s="61">
        <v>41934</v>
      </c>
      <c r="G32">
        <v>2</v>
      </c>
      <c r="H32" t="s">
        <v>142</v>
      </c>
      <c r="I32" s="62">
        <v>61443</v>
      </c>
      <c r="J32">
        <v>2</v>
      </c>
    </row>
    <row r="33" spans="1:10" hidden="1" x14ac:dyDescent="0.25">
      <c r="A33" t="s">
        <v>211</v>
      </c>
      <c r="B33" t="s">
        <v>212</v>
      </c>
      <c r="C33" t="str">
        <f>_xlfn.TEXTJOIN(",",TRUE, Employee[[#This Row],[Last Name]], Employee[[#This Row],[First Name]])</f>
        <v>Walton, Benjamin</v>
      </c>
      <c r="D33" t="s">
        <v>155</v>
      </c>
      <c r="E33" t="s">
        <v>194</v>
      </c>
      <c r="F33" s="61">
        <v>40492</v>
      </c>
      <c r="G33">
        <v>6</v>
      </c>
      <c r="H33" t="s">
        <v>139</v>
      </c>
      <c r="I33" s="62">
        <v>115351</v>
      </c>
      <c r="J33">
        <v>1</v>
      </c>
    </row>
    <row r="34" spans="1:10" hidden="1" x14ac:dyDescent="0.25">
      <c r="A34" t="s">
        <v>213</v>
      </c>
      <c r="B34" t="s">
        <v>214</v>
      </c>
      <c r="C34" t="str">
        <f>_xlfn.TEXTJOIN(",",TRUE, Employee[[#This Row],[Last Name]], Employee[[#This Row],[First Name]])</f>
        <v>Beck, Craig</v>
      </c>
      <c r="D34" t="s">
        <v>155</v>
      </c>
      <c r="E34" t="s">
        <v>194</v>
      </c>
      <c r="F34" s="61">
        <v>42096</v>
      </c>
      <c r="G34">
        <v>2</v>
      </c>
      <c r="H34" t="s">
        <v>139</v>
      </c>
      <c r="I34" s="62">
        <v>71321</v>
      </c>
      <c r="J34">
        <v>3</v>
      </c>
    </row>
    <row r="35" spans="1:10" hidden="1" x14ac:dyDescent="0.25">
      <c r="A35" t="s">
        <v>215</v>
      </c>
      <c r="B35" t="s">
        <v>216</v>
      </c>
      <c r="C35" t="str">
        <f>_xlfn.TEXTJOIN(",",TRUE, Employee[[#This Row],[Last Name]], Employee[[#This Row],[First Name]])</f>
        <v>Phelps, Gretchen</v>
      </c>
      <c r="D35" t="s">
        <v>178</v>
      </c>
      <c r="E35" t="s">
        <v>194</v>
      </c>
      <c r="F35" s="61">
        <v>41586</v>
      </c>
      <c r="G35">
        <v>3</v>
      </c>
      <c r="H35" t="s">
        <v>145</v>
      </c>
      <c r="I35" s="62">
        <v>124798</v>
      </c>
      <c r="J35">
        <v>2</v>
      </c>
    </row>
    <row r="36" spans="1:10" hidden="1" x14ac:dyDescent="0.25">
      <c r="A36" t="s">
        <v>217</v>
      </c>
      <c r="B36" t="s">
        <v>218</v>
      </c>
      <c r="C36" t="str">
        <f>_xlfn.TEXTJOIN(",",TRUE, Employee[[#This Row],[Last Name]], Employee[[#This Row],[First Name]])</f>
        <v>Bond, John</v>
      </c>
      <c r="D36" t="s">
        <v>155</v>
      </c>
      <c r="E36" t="s">
        <v>194</v>
      </c>
      <c r="F36" s="61">
        <v>40495</v>
      </c>
      <c r="G36">
        <v>6</v>
      </c>
      <c r="H36" t="s">
        <v>152</v>
      </c>
      <c r="I36" s="62">
        <v>96545</v>
      </c>
      <c r="J36">
        <v>3</v>
      </c>
    </row>
    <row r="37" spans="1:10" hidden="1" x14ac:dyDescent="0.25">
      <c r="A37" t="s">
        <v>219</v>
      </c>
      <c r="B37" t="s">
        <v>220</v>
      </c>
      <c r="C37" t="str">
        <f>_xlfn.TEXTJOIN(",",TRUE, Employee[[#This Row],[Last Name]], Employee[[#This Row],[First Name]])</f>
        <v>Chang, Gabriel</v>
      </c>
      <c r="D37" t="s">
        <v>161</v>
      </c>
      <c r="E37" t="s">
        <v>194</v>
      </c>
      <c r="F37" s="61">
        <v>41230</v>
      </c>
      <c r="G37">
        <v>4</v>
      </c>
      <c r="H37" t="s">
        <v>185</v>
      </c>
      <c r="I37" s="62">
        <v>98833</v>
      </c>
      <c r="J37">
        <v>1</v>
      </c>
    </row>
    <row r="38" spans="1:10" hidden="1" x14ac:dyDescent="0.25">
      <c r="A38" t="s">
        <v>221</v>
      </c>
      <c r="B38" t="s">
        <v>222</v>
      </c>
      <c r="C38" t="str">
        <f>_xlfn.TEXTJOIN(",",TRUE, Employee[[#This Row],[Last Name]], Employee[[#This Row],[First Name]])</f>
        <v>Bullock, Greg</v>
      </c>
      <c r="D38" t="s">
        <v>155</v>
      </c>
      <c r="E38" t="s">
        <v>223</v>
      </c>
      <c r="F38" s="61">
        <v>42003</v>
      </c>
      <c r="G38">
        <v>2</v>
      </c>
      <c r="H38" t="s">
        <v>145</v>
      </c>
      <c r="I38" s="62">
        <v>124698</v>
      </c>
      <c r="J38">
        <v>3</v>
      </c>
    </row>
    <row r="39" spans="1:10" hidden="1" x14ac:dyDescent="0.25">
      <c r="A39" t="s">
        <v>224</v>
      </c>
      <c r="B39" t="s">
        <v>225</v>
      </c>
      <c r="C39" t="str">
        <f>_xlfn.TEXTJOIN(",",TRUE, Employee[[#This Row],[Last Name]], Employee[[#This Row],[First Name]])</f>
        <v>Wheeler, Meegan</v>
      </c>
      <c r="D39" t="s">
        <v>137</v>
      </c>
      <c r="E39" t="s">
        <v>223</v>
      </c>
      <c r="F39" s="61">
        <v>40172</v>
      </c>
      <c r="G39">
        <v>7</v>
      </c>
      <c r="H39" t="s">
        <v>145</v>
      </c>
      <c r="I39" s="62">
        <v>106453</v>
      </c>
      <c r="J39">
        <v>4</v>
      </c>
    </row>
    <row r="40" spans="1:10" hidden="1" x14ac:dyDescent="0.25">
      <c r="A40" t="s">
        <v>226</v>
      </c>
      <c r="B40" t="s">
        <v>227</v>
      </c>
      <c r="C40" t="str">
        <f>_xlfn.TEXTJOIN(",",TRUE, Employee[[#This Row],[Last Name]], Employee[[#This Row],[First Name]])</f>
        <v>Cunningham, Denise</v>
      </c>
      <c r="D40" t="s">
        <v>161</v>
      </c>
      <c r="E40" t="s">
        <v>223</v>
      </c>
      <c r="F40" s="61">
        <v>41278</v>
      </c>
      <c r="G40">
        <v>4</v>
      </c>
      <c r="H40" t="s">
        <v>152</v>
      </c>
      <c r="I40" s="62">
        <v>88169</v>
      </c>
      <c r="J40">
        <v>5</v>
      </c>
    </row>
    <row r="41" spans="1:10" x14ac:dyDescent="0.25">
      <c r="A41" t="s">
        <v>228</v>
      </c>
      <c r="B41" t="s">
        <v>229</v>
      </c>
      <c r="C41" t="str">
        <f>_xlfn.TEXTJOIN(",",TRUE, Employee[[#This Row],[Last Name]], Employee[[#This Row],[First Name]])</f>
        <v>Simpson, Jimmy</v>
      </c>
      <c r="D41" t="s">
        <v>151</v>
      </c>
      <c r="E41" t="s">
        <v>223</v>
      </c>
      <c r="F41" s="61">
        <v>37974</v>
      </c>
      <c r="G41">
        <v>13</v>
      </c>
      <c r="H41" t="s">
        <v>139</v>
      </c>
      <c r="I41" s="62">
        <v>83157</v>
      </c>
      <c r="J41">
        <v>3</v>
      </c>
    </row>
    <row r="42" spans="1:10" hidden="1" x14ac:dyDescent="0.25">
      <c r="A42" t="s">
        <v>230</v>
      </c>
      <c r="B42" t="s">
        <v>193</v>
      </c>
      <c r="C42" t="str">
        <f>_xlfn.TEXTJOIN(",",TRUE, Employee[[#This Row],[Last Name]], Employee[[#This Row],[First Name]])</f>
        <v>Griffith, Michelle</v>
      </c>
      <c r="D42" t="s">
        <v>178</v>
      </c>
      <c r="E42" t="s">
        <v>223</v>
      </c>
      <c r="F42" s="61">
        <v>41311</v>
      </c>
      <c r="G42">
        <v>4</v>
      </c>
      <c r="H42" t="s">
        <v>145</v>
      </c>
      <c r="I42" s="62">
        <v>71963</v>
      </c>
      <c r="J42">
        <v>2</v>
      </c>
    </row>
    <row r="43" spans="1:10" x14ac:dyDescent="0.25">
      <c r="A43" t="s">
        <v>231</v>
      </c>
      <c r="B43" t="s">
        <v>232</v>
      </c>
      <c r="C43" t="str">
        <f>_xlfn.TEXTJOIN(",",TRUE, Employee[[#This Row],[Last Name]], Employee[[#This Row],[First Name]])</f>
        <v>Powers, Tia</v>
      </c>
      <c r="D43" t="s">
        <v>155</v>
      </c>
      <c r="E43" t="s">
        <v>223</v>
      </c>
      <c r="F43" s="61">
        <v>36907</v>
      </c>
      <c r="G43">
        <v>16</v>
      </c>
      <c r="H43" t="s">
        <v>139</v>
      </c>
      <c r="I43" s="62">
        <v>84121</v>
      </c>
      <c r="J43">
        <v>3</v>
      </c>
    </row>
    <row r="44" spans="1:10" x14ac:dyDescent="0.25">
      <c r="A44" t="s">
        <v>233</v>
      </c>
      <c r="B44" t="s">
        <v>234</v>
      </c>
      <c r="C44" t="str">
        <f>_xlfn.TEXTJOIN(",",TRUE, Employee[[#This Row],[Last Name]], Employee[[#This Row],[First Name]])</f>
        <v>Navarro, Marc</v>
      </c>
      <c r="D44" t="s">
        <v>161</v>
      </c>
      <c r="E44" t="s">
        <v>223</v>
      </c>
      <c r="F44" s="61">
        <v>36920</v>
      </c>
      <c r="G44">
        <v>16</v>
      </c>
      <c r="H44" t="s">
        <v>168</v>
      </c>
      <c r="I44" s="62">
        <v>73059</v>
      </c>
      <c r="J44">
        <v>4</v>
      </c>
    </row>
    <row r="45" spans="1:10" x14ac:dyDescent="0.25">
      <c r="A45" t="s">
        <v>235</v>
      </c>
      <c r="B45" t="s">
        <v>236</v>
      </c>
      <c r="C45" t="str">
        <f>_xlfn.TEXTJOIN(",",TRUE, Employee[[#This Row],[Last Name]], Employee[[#This Row],[First Name]])</f>
        <v>Briggs, Bryan</v>
      </c>
      <c r="D45" t="s">
        <v>161</v>
      </c>
      <c r="E45" t="s">
        <v>223</v>
      </c>
      <c r="F45" s="61">
        <v>36926</v>
      </c>
      <c r="G45">
        <v>16</v>
      </c>
      <c r="H45" t="s">
        <v>145</v>
      </c>
      <c r="I45" s="62">
        <v>115255</v>
      </c>
      <c r="J45">
        <v>5</v>
      </c>
    </row>
    <row r="46" spans="1:10" hidden="1" x14ac:dyDescent="0.25">
      <c r="A46" t="s">
        <v>237</v>
      </c>
      <c r="B46" t="s">
        <v>238</v>
      </c>
      <c r="C46" t="str">
        <f>_xlfn.TEXTJOIN(",",TRUE, Employee[[#This Row],[Last Name]], Employee[[#This Row],[First Name]])</f>
        <v>Warren, Jean</v>
      </c>
      <c r="D46" t="s">
        <v>148</v>
      </c>
      <c r="E46" t="s">
        <v>223</v>
      </c>
      <c r="F46" s="61">
        <v>41653</v>
      </c>
      <c r="G46">
        <v>3</v>
      </c>
      <c r="H46" t="s">
        <v>168</v>
      </c>
      <c r="I46" s="62">
        <v>75259</v>
      </c>
      <c r="J46">
        <v>2</v>
      </c>
    </row>
    <row r="47" spans="1:10" hidden="1" x14ac:dyDescent="0.25">
      <c r="A47" t="s">
        <v>239</v>
      </c>
      <c r="B47" t="s">
        <v>240</v>
      </c>
      <c r="C47" t="str">
        <f>_xlfn.TEXTJOIN(",",TRUE, Employee[[#This Row],[Last Name]], Employee[[#This Row],[First Name]])</f>
        <v>McDonald, Debra</v>
      </c>
      <c r="D47" t="s">
        <v>155</v>
      </c>
      <c r="E47" t="s">
        <v>223</v>
      </c>
      <c r="F47" s="61">
        <v>41674</v>
      </c>
      <c r="G47">
        <v>3</v>
      </c>
      <c r="H47" t="s">
        <v>152</v>
      </c>
      <c r="I47" s="62">
        <v>104597</v>
      </c>
      <c r="J47">
        <v>5</v>
      </c>
    </row>
    <row r="48" spans="1:10" hidden="1" x14ac:dyDescent="0.25">
      <c r="A48" t="s">
        <v>241</v>
      </c>
      <c r="B48" t="s">
        <v>242</v>
      </c>
      <c r="C48" t="str">
        <f>_xlfn.TEXTJOIN(",",TRUE, Employee[[#This Row],[Last Name]], Employee[[#This Row],[First Name]])</f>
        <v>Pitts, Dana</v>
      </c>
      <c r="D48" t="s">
        <v>148</v>
      </c>
      <c r="E48" t="s">
        <v>223</v>
      </c>
      <c r="F48" s="61">
        <v>42061</v>
      </c>
      <c r="G48">
        <v>2</v>
      </c>
      <c r="H48" t="s">
        <v>145</v>
      </c>
      <c r="I48" s="62">
        <v>124141</v>
      </c>
      <c r="J48">
        <v>1</v>
      </c>
    </row>
    <row r="49" spans="1:10" hidden="1" x14ac:dyDescent="0.25">
      <c r="A49" t="s">
        <v>243</v>
      </c>
      <c r="B49" t="s">
        <v>244</v>
      </c>
      <c r="C49" t="str">
        <f>_xlfn.TEXTJOIN(",",TRUE, Employee[[#This Row],[Last Name]], Employee[[#This Row],[First Name]])</f>
        <v>Pruitt, Randy</v>
      </c>
      <c r="D49" t="s">
        <v>161</v>
      </c>
      <c r="E49" t="s">
        <v>223</v>
      </c>
      <c r="F49" s="61">
        <v>39870</v>
      </c>
      <c r="G49">
        <v>8</v>
      </c>
      <c r="H49" t="s">
        <v>145</v>
      </c>
      <c r="I49" s="62">
        <v>119465</v>
      </c>
      <c r="J49">
        <v>5</v>
      </c>
    </row>
    <row r="50" spans="1:10" hidden="1" x14ac:dyDescent="0.25">
      <c r="A50" t="s">
        <v>245</v>
      </c>
      <c r="B50" t="s">
        <v>246</v>
      </c>
      <c r="C50" t="str">
        <f>_xlfn.TEXTJOIN(",",TRUE, Employee[[#This Row],[Last Name]], Employee[[#This Row],[First Name]])</f>
        <v>Nicholson, Lee</v>
      </c>
      <c r="D50" t="s">
        <v>137</v>
      </c>
      <c r="E50" t="s">
        <v>223</v>
      </c>
      <c r="F50" s="61">
        <v>39882</v>
      </c>
      <c r="G50">
        <v>8</v>
      </c>
      <c r="H50" t="s">
        <v>152</v>
      </c>
      <c r="I50" s="62">
        <v>51489</v>
      </c>
      <c r="J50">
        <v>4</v>
      </c>
    </row>
    <row r="51" spans="1:10" x14ac:dyDescent="0.25">
      <c r="A51" t="s">
        <v>247</v>
      </c>
      <c r="B51" t="s">
        <v>248</v>
      </c>
      <c r="C51" t="str">
        <f>_xlfn.TEXTJOIN(",",TRUE, Employee[[#This Row],[Last Name]], Employee[[#This Row],[First Name]])</f>
        <v>Matthews, Diane</v>
      </c>
      <c r="D51" t="s">
        <v>155</v>
      </c>
      <c r="E51" t="s">
        <v>223</v>
      </c>
      <c r="F51" s="61">
        <v>37680</v>
      </c>
      <c r="G51">
        <v>14</v>
      </c>
      <c r="H51" t="s">
        <v>145</v>
      </c>
      <c r="I51" s="62">
        <v>46075</v>
      </c>
      <c r="J51">
        <v>3</v>
      </c>
    </row>
    <row r="52" spans="1:10" hidden="1" x14ac:dyDescent="0.25">
      <c r="A52" t="s">
        <v>249</v>
      </c>
      <c r="B52" t="s">
        <v>250</v>
      </c>
      <c r="C52" t="str">
        <f>_xlfn.TEXTJOIN(",",TRUE, Employee[[#This Row],[Last Name]], Employee[[#This Row],[First Name]])</f>
        <v>Norris, Tamara</v>
      </c>
      <c r="D52" t="s">
        <v>137</v>
      </c>
      <c r="E52" t="s">
        <v>223</v>
      </c>
      <c r="F52" s="61">
        <v>41731</v>
      </c>
      <c r="G52">
        <v>3</v>
      </c>
      <c r="H52" t="s">
        <v>168</v>
      </c>
      <c r="I52" s="62">
        <v>102833</v>
      </c>
      <c r="J52">
        <v>2</v>
      </c>
    </row>
    <row r="53" spans="1:10" hidden="1" x14ac:dyDescent="0.25">
      <c r="A53" t="s">
        <v>251</v>
      </c>
      <c r="B53" t="s">
        <v>252</v>
      </c>
      <c r="C53" t="str">
        <f>_xlfn.TEXTJOIN(",",TRUE, Employee[[#This Row],[Last Name]], Employee[[#This Row],[First Name]])</f>
        <v>Weiss, Marisa</v>
      </c>
      <c r="D53" t="s">
        <v>137</v>
      </c>
      <c r="E53" t="s">
        <v>223</v>
      </c>
      <c r="F53" s="61">
        <v>41351</v>
      </c>
      <c r="G53">
        <v>4</v>
      </c>
      <c r="H53" t="s">
        <v>145</v>
      </c>
      <c r="I53" s="62">
        <v>65490</v>
      </c>
      <c r="J53">
        <v>2</v>
      </c>
    </row>
    <row r="54" spans="1:10" x14ac:dyDescent="0.25">
      <c r="A54" t="s">
        <v>253</v>
      </c>
      <c r="B54" t="s">
        <v>254</v>
      </c>
      <c r="C54" t="str">
        <f>_xlfn.TEXTJOIN(",",TRUE, Employee[[#This Row],[Last Name]], Employee[[#This Row],[First Name]])</f>
        <v>Lawrence, Ronald</v>
      </c>
      <c r="D54" t="s">
        <v>161</v>
      </c>
      <c r="E54" t="s">
        <v>223</v>
      </c>
      <c r="F54" s="61">
        <v>36980</v>
      </c>
      <c r="G54">
        <v>16</v>
      </c>
      <c r="H54" t="s">
        <v>145</v>
      </c>
      <c r="I54" s="62">
        <v>109822</v>
      </c>
      <c r="J54">
        <v>3</v>
      </c>
    </row>
    <row r="55" spans="1:10" x14ac:dyDescent="0.25">
      <c r="A55" t="s">
        <v>255</v>
      </c>
      <c r="B55" t="s">
        <v>256</v>
      </c>
      <c r="C55" t="str">
        <f>_xlfn.TEXTJOIN(",",TRUE, Employee[[#This Row],[Last Name]], Employee[[#This Row],[First Name]])</f>
        <v>Sherman, Karin</v>
      </c>
      <c r="D55" t="s">
        <v>155</v>
      </c>
      <c r="E55" t="s">
        <v>223</v>
      </c>
      <c r="F55" s="61">
        <v>38086</v>
      </c>
      <c r="G55">
        <v>13</v>
      </c>
      <c r="H55" t="s">
        <v>139</v>
      </c>
      <c r="I55" s="62">
        <v>93149</v>
      </c>
      <c r="J55">
        <v>4</v>
      </c>
    </row>
    <row r="56" spans="1:10" x14ac:dyDescent="0.25">
      <c r="A56" t="s">
        <v>257</v>
      </c>
      <c r="B56" t="s">
        <v>258</v>
      </c>
      <c r="C56" t="str">
        <f>_xlfn.TEXTJOIN(",",TRUE, Employee[[#This Row],[Last Name]], Employee[[#This Row],[First Name]])</f>
        <v>Harmon, Paul</v>
      </c>
      <c r="D56" t="s">
        <v>155</v>
      </c>
      <c r="E56" t="s">
        <v>223</v>
      </c>
      <c r="F56" s="61">
        <v>38426</v>
      </c>
      <c r="G56">
        <v>12</v>
      </c>
      <c r="H56" t="s">
        <v>142</v>
      </c>
      <c r="I56" s="62">
        <v>79729</v>
      </c>
      <c r="J56">
        <v>3</v>
      </c>
    </row>
    <row r="57" spans="1:10" hidden="1" x14ac:dyDescent="0.25">
      <c r="A57" t="s">
        <v>259</v>
      </c>
      <c r="B57" t="s">
        <v>260</v>
      </c>
      <c r="C57" t="str">
        <f>_xlfn.TEXTJOIN(",",TRUE, Employee[[#This Row],[Last Name]], Employee[[#This Row],[First Name]])</f>
        <v>Vance, Cheryl</v>
      </c>
      <c r="D57" t="s">
        <v>178</v>
      </c>
      <c r="E57" t="s">
        <v>223</v>
      </c>
      <c r="F57" s="61">
        <v>41000</v>
      </c>
      <c r="G57">
        <v>5</v>
      </c>
      <c r="H57" t="s">
        <v>145</v>
      </c>
      <c r="I57" s="62">
        <v>54814</v>
      </c>
      <c r="J57">
        <v>3</v>
      </c>
    </row>
    <row r="58" spans="1:10" hidden="1" x14ac:dyDescent="0.25">
      <c r="A58" t="s">
        <v>261</v>
      </c>
      <c r="B58" t="s">
        <v>262</v>
      </c>
      <c r="C58" t="str">
        <f>_xlfn.TEXTJOIN(",",TRUE, Employee[[#This Row],[Last Name]], Employee[[#This Row],[First Name]])</f>
        <v>Swanson, Vicki</v>
      </c>
      <c r="D58" t="s">
        <v>161</v>
      </c>
      <c r="E58" t="s">
        <v>223</v>
      </c>
      <c r="F58" s="61">
        <v>41352</v>
      </c>
      <c r="G58">
        <v>4</v>
      </c>
      <c r="H58" t="s">
        <v>142</v>
      </c>
      <c r="I58" s="62">
        <v>96191</v>
      </c>
      <c r="J58">
        <v>1</v>
      </c>
    </row>
    <row r="59" spans="1:10" hidden="1" x14ac:dyDescent="0.25">
      <c r="A59" t="s">
        <v>263</v>
      </c>
      <c r="B59" t="s">
        <v>264</v>
      </c>
      <c r="C59" t="str">
        <f>_xlfn.TEXTJOIN(",",TRUE, Employee[[#This Row],[Last Name]], Employee[[#This Row],[First Name]])</f>
        <v>Steele, Gerald</v>
      </c>
      <c r="D59" t="s">
        <v>137</v>
      </c>
      <c r="E59" t="s">
        <v>223</v>
      </c>
      <c r="F59" s="61">
        <v>41370</v>
      </c>
      <c r="G59">
        <v>4</v>
      </c>
      <c r="H59" t="s">
        <v>139</v>
      </c>
      <c r="I59" s="62">
        <v>112396</v>
      </c>
      <c r="J59">
        <v>1</v>
      </c>
    </row>
    <row r="60" spans="1:10" hidden="1" x14ac:dyDescent="0.25">
      <c r="A60" t="s">
        <v>265</v>
      </c>
      <c r="B60" t="s">
        <v>189</v>
      </c>
      <c r="C60" t="str">
        <f>_xlfn.TEXTJOIN(",",TRUE, Employee[[#This Row],[Last Name]], Employee[[#This Row],[First Name]])</f>
        <v>Richardson, Debbie</v>
      </c>
      <c r="D60" t="s">
        <v>155</v>
      </c>
      <c r="E60" t="s">
        <v>223</v>
      </c>
      <c r="F60" s="61">
        <v>42129</v>
      </c>
      <c r="G60">
        <v>2</v>
      </c>
      <c r="H60" t="s">
        <v>142</v>
      </c>
      <c r="I60" s="62">
        <v>118240</v>
      </c>
      <c r="J60">
        <v>3</v>
      </c>
    </row>
    <row r="61" spans="1:10" hidden="1" x14ac:dyDescent="0.25">
      <c r="A61" t="s">
        <v>266</v>
      </c>
      <c r="B61" t="s">
        <v>267</v>
      </c>
      <c r="C61" t="str">
        <f>_xlfn.TEXTJOIN(",",TRUE, Employee[[#This Row],[Last Name]], Employee[[#This Row],[First Name]])</f>
        <v>Whitehead, Carolyn</v>
      </c>
      <c r="D61" t="s">
        <v>155</v>
      </c>
      <c r="E61" t="s">
        <v>223</v>
      </c>
      <c r="F61" s="61">
        <v>40666</v>
      </c>
      <c r="G61">
        <v>6</v>
      </c>
      <c r="H61" t="s">
        <v>142</v>
      </c>
      <c r="I61" s="62">
        <v>114408</v>
      </c>
      <c r="J61">
        <v>5</v>
      </c>
    </row>
    <row r="62" spans="1:10" hidden="1" x14ac:dyDescent="0.25">
      <c r="A62" t="s">
        <v>268</v>
      </c>
      <c r="B62" t="s">
        <v>269</v>
      </c>
      <c r="C62" t="str">
        <f>_xlfn.TEXTJOIN(",",TRUE, Employee[[#This Row],[Last Name]], Employee[[#This Row],[First Name]])</f>
        <v>Flowers, Kathleen</v>
      </c>
      <c r="D62" t="s">
        <v>161</v>
      </c>
      <c r="E62" t="s">
        <v>223</v>
      </c>
      <c r="F62" s="61">
        <v>40293</v>
      </c>
      <c r="G62">
        <v>7</v>
      </c>
      <c r="H62" t="s">
        <v>139</v>
      </c>
      <c r="I62" s="62">
        <v>104133</v>
      </c>
      <c r="J62">
        <v>5</v>
      </c>
    </row>
    <row r="63" spans="1:10" hidden="1" x14ac:dyDescent="0.25">
      <c r="A63" t="s">
        <v>270</v>
      </c>
      <c r="B63" t="s">
        <v>154</v>
      </c>
      <c r="C63" t="str">
        <f>_xlfn.TEXTJOIN(",",TRUE, Employee[[#This Row],[Last Name]], Employee[[#This Row],[First Name]])</f>
        <v>Huff, Erik</v>
      </c>
      <c r="D63" t="s">
        <v>148</v>
      </c>
      <c r="E63" t="s">
        <v>223</v>
      </c>
      <c r="F63" s="61">
        <v>41388</v>
      </c>
      <c r="G63">
        <v>4</v>
      </c>
      <c r="H63" t="s">
        <v>168</v>
      </c>
      <c r="I63" s="62">
        <v>99457</v>
      </c>
      <c r="J63">
        <v>5</v>
      </c>
    </row>
    <row r="64" spans="1:10" hidden="1" x14ac:dyDescent="0.25">
      <c r="A64" t="s">
        <v>271</v>
      </c>
      <c r="B64" t="s">
        <v>272</v>
      </c>
      <c r="C64" t="str">
        <f>_xlfn.TEXTJOIN(",",TRUE, Employee[[#This Row],[Last Name]], Employee[[#This Row],[First Name]])</f>
        <v>Deleon, Jaquelyn</v>
      </c>
      <c r="D64" t="s">
        <v>155</v>
      </c>
      <c r="E64" t="s">
        <v>223</v>
      </c>
      <c r="F64" s="61">
        <v>41398</v>
      </c>
      <c r="G64">
        <v>4</v>
      </c>
      <c r="H64" t="s">
        <v>152</v>
      </c>
      <c r="I64" s="62">
        <v>49254</v>
      </c>
      <c r="J64">
        <v>3</v>
      </c>
    </row>
    <row r="65" spans="1:10" hidden="1" x14ac:dyDescent="0.25">
      <c r="A65" t="s">
        <v>273</v>
      </c>
      <c r="B65" t="s">
        <v>274</v>
      </c>
      <c r="C65" t="str">
        <f>_xlfn.TEXTJOIN(",",TRUE, Employee[[#This Row],[Last Name]], Employee[[#This Row],[First Name]])</f>
        <v>Kent, Angus</v>
      </c>
      <c r="D65" t="s">
        <v>155</v>
      </c>
      <c r="E65" t="s">
        <v>223</v>
      </c>
      <c r="F65" s="61">
        <v>39934</v>
      </c>
      <c r="G65">
        <v>8</v>
      </c>
      <c r="H65" t="s">
        <v>145</v>
      </c>
      <c r="I65" s="62">
        <v>126756</v>
      </c>
      <c r="J65">
        <v>2</v>
      </c>
    </row>
    <row r="66" spans="1:10" x14ac:dyDescent="0.25">
      <c r="A66" t="s">
        <v>275</v>
      </c>
      <c r="B66" t="s">
        <v>165</v>
      </c>
      <c r="C66" t="str">
        <f>_xlfn.TEXTJOIN(",",TRUE, Employee[[#This Row],[Last Name]], Employee[[#This Row],[First Name]])</f>
        <v>Wallace, Timothy</v>
      </c>
      <c r="D66" t="s">
        <v>151</v>
      </c>
      <c r="E66" t="s">
        <v>223</v>
      </c>
      <c r="F66" s="61">
        <v>37018</v>
      </c>
      <c r="G66">
        <v>16</v>
      </c>
      <c r="H66" t="s">
        <v>145</v>
      </c>
      <c r="I66" s="62">
        <v>115133</v>
      </c>
      <c r="J66">
        <v>5</v>
      </c>
    </row>
    <row r="67" spans="1:10" x14ac:dyDescent="0.25">
      <c r="A67" t="s">
        <v>276</v>
      </c>
      <c r="B67" t="s">
        <v>277</v>
      </c>
      <c r="C67" t="str">
        <f>_xlfn.TEXTJOIN(",",TRUE, Employee[[#This Row],[Last Name]], Employee[[#This Row],[First Name]])</f>
        <v>Nichols, Nathaniel</v>
      </c>
      <c r="D67" t="s">
        <v>155</v>
      </c>
      <c r="E67" t="s">
        <v>223</v>
      </c>
      <c r="F67" s="61">
        <v>38096</v>
      </c>
      <c r="G67">
        <v>13</v>
      </c>
      <c r="H67" t="s">
        <v>185</v>
      </c>
      <c r="I67" s="62">
        <v>101108</v>
      </c>
      <c r="J67">
        <v>4</v>
      </c>
    </row>
    <row r="68" spans="1:10" hidden="1" x14ac:dyDescent="0.25">
      <c r="A68" t="s">
        <v>278</v>
      </c>
      <c r="B68" t="s">
        <v>279</v>
      </c>
      <c r="C68" t="str">
        <f>_xlfn.TEXTJOIN(",",TRUE, Employee[[#This Row],[Last Name]], Employee[[#This Row],[First Name]])</f>
        <v>Morgan, Patricia</v>
      </c>
      <c r="D68" t="s">
        <v>155</v>
      </c>
      <c r="E68" t="s">
        <v>223</v>
      </c>
      <c r="F68" s="61">
        <v>41037</v>
      </c>
      <c r="G68">
        <v>5</v>
      </c>
      <c r="H68" t="s">
        <v>145</v>
      </c>
      <c r="I68" s="62">
        <v>62211</v>
      </c>
      <c r="J68">
        <v>5</v>
      </c>
    </row>
    <row r="69" spans="1:10" x14ac:dyDescent="0.25">
      <c r="A69" t="s">
        <v>280</v>
      </c>
      <c r="B69" t="s">
        <v>281</v>
      </c>
      <c r="C69" t="str">
        <f>_xlfn.TEXTJOIN(",",TRUE, Employee[[#This Row],[Last Name]], Employee[[#This Row],[First Name]])</f>
        <v>Harding, Erin</v>
      </c>
      <c r="D69" t="s">
        <v>137</v>
      </c>
      <c r="E69" t="s">
        <v>223</v>
      </c>
      <c r="F69" s="61">
        <v>37043</v>
      </c>
      <c r="G69">
        <v>16</v>
      </c>
      <c r="H69" t="s">
        <v>152</v>
      </c>
      <c r="I69" s="62">
        <v>70796</v>
      </c>
      <c r="J69">
        <v>4</v>
      </c>
    </row>
    <row r="70" spans="1:10" x14ac:dyDescent="0.25">
      <c r="A70" t="s">
        <v>282</v>
      </c>
      <c r="B70" t="s">
        <v>283</v>
      </c>
      <c r="C70" t="str">
        <f>_xlfn.TEXTJOIN(",",TRUE, Employee[[#This Row],[Last Name]], Employee[[#This Row],[First Name]])</f>
        <v>Hood, Renee</v>
      </c>
      <c r="D70" t="s">
        <v>155</v>
      </c>
      <c r="E70" t="s">
        <v>223</v>
      </c>
      <c r="F70" s="61">
        <v>38863</v>
      </c>
      <c r="G70">
        <v>11</v>
      </c>
      <c r="H70" t="s">
        <v>185</v>
      </c>
      <c r="I70" s="62">
        <v>67727</v>
      </c>
      <c r="J70">
        <v>4</v>
      </c>
    </row>
    <row r="71" spans="1:10" hidden="1" x14ac:dyDescent="0.25">
      <c r="A71" t="s">
        <v>284</v>
      </c>
      <c r="B71" t="s">
        <v>218</v>
      </c>
      <c r="C71" t="str">
        <f>_xlfn.TEXTJOIN(",",TRUE, Employee[[#This Row],[Last Name]], Employee[[#This Row],[First Name]])</f>
        <v>Hickman, John</v>
      </c>
      <c r="D71" t="s">
        <v>137</v>
      </c>
      <c r="E71" t="s">
        <v>223</v>
      </c>
      <c r="F71" s="61">
        <v>42169</v>
      </c>
      <c r="G71">
        <v>2</v>
      </c>
      <c r="H71" t="s">
        <v>139</v>
      </c>
      <c r="I71" s="62">
        <v>109199</v>
      </c>
      <c r="J71">
        <v>2</v>
      </c>
    </row>
    <row r="72" spans="1:10" hidden="1" x14ac:dyDescent="0.25">
      <c r="A72" t="s">
        <v>285</v>
      </c>
      <c r="B72" t="s">
        <v>286</v>
      </c>
      <c r="C72" t="str">
        <f>_xlfn.TEXTJOIN(",",TRUE, Employee[[#This Row],[Last Name]], Employee[[#This Row],[First Name]])</f>
        <v>Schneider, Gay</v>
      </c>
      <c r="D72" t="s">
        <v>161</v>
      </c>
      <c r="E72" t="s">
        <v>223</v>
      </c>
      <c r="F72" s="61">
        <v>40357</v>
      </c>
      <c r="G72">
        <v>7</v>
      </c>
      <c r="H72" t="s">
        <v>139</v>
      </c>
      <c r="I72" s="62">
        <v>119300</v>
      </c>
      <c r="J72">
        <v>3</v>
      </c>
    </row>
    <row r="73" spans="1:10" hidden="1" x14ac:dyDescent="0.25">
      <c r="A73" t="s">
        <v>287</v>
      </c>
      <c r="B73" t="s">
        <v>147</v>
      </c>
      <c r="C73" t="str">
        <f>_xlfn.TEXTJOIN(",",TRUE, Employee[[#This Row],[Last Name]], Employee[[#This Row],[First Name]])</f>
        <v>Stone, Brian</v>
      </c>
      <c r="D73" t="s">
        <v>155</v>
      </c>
      <c r="E73" t="s">
        <v>223</v>
      </c>
      <c r="F73" s="61">
        <v>41446</v>
      </c>
      <c r="G73">
        <v>4</v>
      </c>
      <c r="H73" t="s">
        <v>145</v>
      </c>
      <c r="I73" s="62">
        <v>124619</v>
      </c>
      <c r="J73">
        <v>5</v>
      </c>
    </row>
    <row r="74" spans="1:10" hidden="1" x14ac:dyDescent="0.25">
      <c r="A74" t="s">
        <v>288</v>
      </c>
      <c r="B74" t="s">
        <v>289</v>
      </c>
      <c r="C74" t="str">
        <f>_xlfn.TEXTJOIN(",",TRUE, Employee[[#This Row],[Last Name]], Employee[[#This Row],[First Name]])</f>
        <v>Goodman, Kuyler</v>
      </c>
      <c r="D74" t="s">
        <v>155</v>
      </c>
      <c r="E74" t="s">
        <v>223</v>
      </c>
      <c r="F74" s="61">
        <v>41855</v>
      </c>
      <c r="G74">
        <v>3</v>
      </c>
      <c r="H74" t="s">
        <v>142</v>
      </c>
      <c r="I74" s="62">
        <v>62470</v>
      </c>
      <c r="J74">
        <v>3</v>
      </c>
    </row>
    <row r="75" spans="1:10" hidden="1" x14ac:dyDescent="0.25">
      <c r="A75" t="s">
        <v>290</v>
      </c>
      <c r="B75" t="s">
        <v>291</v>
      </c>
      <c r="C75" t="str">
        <f>_xlfn.TEXTJOIN(",",TRUE, Employee[[#This Row],[Last Name]], Employee[[#This Row],[First Name]])</f>
        <v>Simmons, Robert</v>
      </c>
      <c r="D75" t="s">
        <v>155</v>
      </c>
      <c r="E75" t="s">
        <v>223</v>
      </c>
      <c r="F75" s="61">
        <v>40740</v>
      </c>
      <c r="G75">
        <v>6</v>
      </c>
      <c r="H75" t="s">
        <v>168</v>
      </c>
      <c r="I75" s="62">
        <v>53191</v>
      </c>
      <c r="J75">
        <v>4</v>
      </c>
    </row>
    <row r="76" spans="1:10" hidden="1" x14ac:dyDescent="0.25">
      <c r="A76" t="s">
        <v>292</v>
      </c>
      <c r="B76" t="s">
        <v>293</v>
      </c>
      <c r="C76" t="str">
        <f>_xlfn.TEXTJOIN(",",TRUE, Employee[[#This Row],[Last Name]], Employee[[#This Row],[First Name]])</f>
        <v>Wolfe, Keith</v>
      </c>
      <c r="D76" t="s">
        <v>137</v>
      </c>
      <c r="E76" t="s">
        <v>223</v>
      </c>
      <c r="F76" s="61">
        <v>40032</v>
      </c>
      <c r="G76">
        <v>8</v>
      </c>
      <c r="H76" t="s">
        <v>139</v>
      </c>
      <c r="I76" s="62">
        <v>45299</v>
      </c>
      <c r="J76">
        <v>4</v>
      </c>
    </row>
    <row r="77" spans="1:10" x14ac:dyDescent="0.25">
      <c r="A77" t="s">
        <v>294</v>
      </c>
      <c r="B77" t="s">
        <v>295</v>
      </c>
      <c r="C77" t="str">
        <f>_xlfn.TEXTJOIN(",",TRUE, Employee[[#This Row],[Last Name]], Employee[[#This Row],[First Name]])</f>
        <v>Conway, Brett</v>
      </c>
      <c r="D77" t="s">
        <v>178</v>
      </c>
      <c r="E77" t="s">
        <v>223</v>
      </c>
      <c r="F77" s="61">
        <v>37116</v>
      </c>
      <c r="G77">
        <v>16</v>
      </c>
      <c r="H77" t="s">
        <v>145</v>
      </c>
      <c r="I77" s="62">
        <v>118113</v>
      </c>
      <c r="J77">
        <v>3</v>
      </c>
    </row>
    <row r="78" spans="1:10" x14ac:dyDescent="0.25">
      <c r="A78" t="s">
        <v>296</v>
      </c>
      <c r="B78" t="s">
        <v>297</v>
      </c>
      <c r="C78" t="str">
        <f>_xlfn.TEXTJOIN(",",TRUE, Employee[[#This Row],[Last Name]], Employee[[#This Row],[First Name]])</f>
        <v>Mendoza, Bobby</v>
      </c>
      <c r="D78" t="s">
        <v>137</v>
      </c>
      <c r="E78" t="s">
        <v>223</v>
      </c>
      <c r="F78" s="61">
        <v>37137</v>
      </c>
      <c r="G78">
        <v>16</v>
      </c>
      <c r="H78" t="s">
        <v>145</v>
      </c>
      <c r="I78" s="62">
        <v>112624</v>
      </c>
      <c r="J78">
        <v>5</v>
      </c>
    </row>
    <row r="79" spans="1:10" hidden="1" x14ac:dyDescent="0.25">
      <c r="A79" t="s">
        <v>298</v>
      </c>
      <c r="B79" t="s">
        <v>299</v>
      </c>
      <c r="C79" t="str">
        <f>_xlfn.TEXTJOIN(",",TRUE, Employee[[#This Row],[Last Name]], Employee[[#This Row],[First Name]])</f>
        <v>James, Lynn</v>
      </c>
      <c r="D79" t="s">
        <v>137</v>
      </c>
      <c r="E79" t="s">
        <v>223</v>
      </c>
      <c r="F79" s="61">
        <v>40048</v>
      </c>
      <c r="G79">
        <v>8</v>
      </c>
      <c r="H79" t="s">
        <v>145</v>
      </c>
      <c r="I79" s="62">
        <v>105125</v>
      </c>
      <c r="J79">
        <v>3</v>
      </c>
    </row>
    <row r="80" spans="1:10" hidden="1" x14ac:dyDescent="0.25">
      <c r="A80" t="s">
        <v>300</v>
      </c>
      <c r="B80" t="s">
        <v>301</v>
      </c>
      <c r="C80" t="str">
        <f>_xlfn.TEXTJOIN(",",TRUE, Employee[[#This Row],[Last Name]], Employee[[#This Row],[First Name]])</f>
        <v>Porter, Rachel</v>
      </c>
      <c r="D80" t="s">
        <v>161</v>
      </c>
      <c r="E80" t="s">
        <v>223</v>
      </c>
      <c r="F80" s="61">
        <v>41163</v>
      </c>
      <c r="G80">
        <v>5</v>
      </c>
      <c r="H80" t="s">
        <v>139</v>
      </c>
      <c r="I80" s="62">
        <v>51385</v>
      </c>
      <c r="J80">
        <v>5</v>
      </c>
    </row>
    <row r="81" spans="1:10" hidden="1" x14ac:dyDescent="0.25">
      <c r="A81" t="s">
        <v>302</v>
      </c>
      <c r="B81" t="s">
        <v>303</v>
      </c>
      <c r="C81" t="str">
        <f>_xlfn.TEXTJOIN(",",TRUE, Employee[[#This Row],[Last Name]], Employee[[#This Row],[First Name]])</f>
        <v>Mullins, Angela</v>
      </c>
      <c r="D81" t="s">
        <v>161</v>
      </c>
      <c r="E81" t="s">
        <v>223</v>
      </c>
      <c r="F81" s="61">
        <v>41910</v>
      </c>
      <c r="G81">
        <v>3</v>
      </c>
      <c r="H81" t="s">
        <v>185</v>
      </c>
      <c r="I81" s="62">
        <v>82217</v>
      </c>
      <c r="J81">
        <v>4</v>
      </c>
    </row>
    <row r="82" spans="1:10" hidden="1" x14ac:dyDescent="0.25">
      <c r="A82" t="s">
        <v>304</v>
      </c>
      <c r="B82" t="s">
        <v>305</v>
      </c>
      <c r="C82" t="str">
        <f>_xlfn.TEXTJOIN(",",TRUE, Employee[[#This Row],[Last Name]], Employee[[#This Row],[First Name]])</f>
        <v>Poole, Tracy</v>
      </c>
      <c r="D82" t="s">
        <v>155</v>
      </c>
      <c r="E82" t="s">
        <v>223</v>
      </c>
      <c r="F82" s="61">
        <v>42278</v>
      </c>
      <c r="G82">
        <v>2</v>
      </c>
      <c r="H82" t="s">
        <v>185</v>
      </c>
      <c r="I82" s="62">
        <v>95620</v>
      </c>
      <c r="J82">
        <v>4</v>
      </c>
    </row>
    <row r="83" spans="1:10" hidden="1" x14ac:dyDescent="0.25">
      <c r="A83" t="s">
        <v>306</v>
      </c>
      <c r="B83" t="s">
        <v>307</v>
      </c>
      <c r="C83" t="str">
        <f>_xlfn.TEXTJOIN(",",TRUE, Employee[[#This Row],[Last Name]], Employee[[#This Row],[First Name]])</f>
        <v>Farrell, Laura</v>
      </c>
      <c r="D83" t="s">
        <v>151</v>
      </c>
      <c r="E83" t="s">
        <v>223</v>
      </c>
      <c r="F83" s="61">
        <v>40457</v>
      </c>
      <c r="G83">
        <v>7</v>
      </c>
      <c r="H83" t="s">
        <v>139</v>
      </c>
      <c r="I83" s="62">
        <v>47514</v>
      </c>
      <c r="J83">
        <v>5</v>
      </c>
    </row>
    <row r="84" spans="1:10" x14ac:dyDescent="0.25">
      <c r="A84" t="s">
        <v>308</v>
      </c>
      <c r="B84" t="s">
        <v>309</v>
      </c>
      <c r="C84" t="str">
        <f>_xlfn.TEXTJOIN(",",TRUE, Employee[[#This Row],[Last Name]], Employee[[#This Row],[First Name]])</f>
        <v>Perry, Christopher</v>
      </c>
      <c r="D84" t="s">
        <v>137</v>
      </c>
      <c r="E84" t="s">
        <v>223</v>
      </c>
      <c r="F84" s="61">
        <v>37165</v>
      </c>
      <c r="G84">
        <v>16</v>
      </c>
      <c r="H84" t="s">
        <v>145</v>
      </c>
      <c r="I84" s="62">
        <v>105647</v>
      </c>
      <c r="J84">
        <v>1</v>
      </c>
    </row>
    <row r="85" spans="1:10" x14ac:dyDescent="0.25">
      <c r="A85" t="s">
        <v>310</v>
      </c>
      <c r="B85" t="s">
        <v>147</v>
      </c>
      <c r="C85" t="str">
        <f>_xlfn.TEXTJOIN(",",TRUE, Employee[[#This Row],[Last Name]], Employee[[#This Row],[First Name]])</f>
        <v>Fletcher, Brian</v>
      </c>
      <c r="D85" t="s">
        <v>161</v>
      </c>
      <c r="E85" t="s">
        <v>223</v>
      </c>
      <c r="F85" s="61">
        <v>38254</v>
      </c>
      <c r="G85">
        <v>13</v>
      </c>
      <c r="H85" t="s">
        <v>152</v>
      </c>
      <c r="I85" s="62">
        <v>125512</v>
      </c>
      <c r="J85">
        <v>2</v>
      </c>
    </row>
    <row r="86" spans="1:10" hidden="1" x14ac:dyDescent="0.25">
      <c r="A86" t="s">
        <v>311</v>
      </c>
      <c r="B86" t="s">
        <v>191</v>
      </c>
      <c r="C86" t="str">
        <f>_xlfn.TEXTJOIN(",",TRUE, Employee[[#This Row],[Last Name]], Employee[[#This Row],[First Name]])</f>
        <v>York, Steven</v>
      </c>
      <c r="D86" t="s">
        <v>155</v>
      </c>
      <c r="E86" t="s">
        <v>223</v>
      </c>
      <c r="F86" s="61">
        <v>40843</v>
      </c>
      <c r="G86">
        <v>5</v>
      </c>
      <c r="H86" t="s">
        <v>145</v>
      </c>
      <c r="I86" s="62">
        <v>45315</v>
      </c>
      <c r="J86">
        <v>3</v>
      </c>
    </row>
    <row r="87" spans="1:10" x14ac:dyDescent="0.25">
      <c r="A87" t="s">
        <v>312</v>
      </c>
      <c r="B87" t="s">
        <v>313</v>
      </c>
      <c r="C87" t="str">
        <f>_xlfn.TEXTJOIN(",",TRUE, Employee[[#This Row],[Last Name]], Employee[[#This Row],[First Name]])</f>
        <v>Hudson, Lorna</v>
      </c>
      <c r="D87" t="s">
        <v>137</v>
      </c>
      <c r="E87" t="s">
        <v>223</v>
      </c>
      <c r="F87" s="61">
        <v>37548</v>
      </c>
      <c r="G87">
        <v>15</v>
      </c>
      <c r="H87" t="s">
        <v>145</v>
      </c>
      <c r="I87" s="62">
        <v>52224</v>
      </c>
      <c r="J87">
        <v>3</v>
      </c>
    </row>
    <row r="88" spans="1:10" x14ac:dyDescent="0.25">
      <c r="A88" t="s">
        <v>314</v>
      </c>
      <c r="B88" t="s">
        <v>315</v>
      </c>
      <c r="C88" t="str">
        <f>_xlfn.TEXTJOIN(",",TRUE, Employee[[#This Row],[Last Name]], Employee[[#This Row],[First Name]])</f>
        <v>May, Steve</v>
      </c>
      <c r="D88" t="s">
        <v>137</v>
      </c>
      <c r="E88" t="s">
        <v>223</v>
      </c>
      <c r="F88" s="61">
        <v>37565</v>
      </c>
      <c r="G88">
        <v>14</v>
      </c>
      <c r="H88" t="s">
        <v>145</v>
      </c>
      <c r="I88" s="62">
        <v>110399</v>
      </c>
      <c r="J88">
        <v>5</v>
      </c>
    </row>
    <row r="89" spans="1:10" hidden="1" x14ac:dyDescent="0.25">
      <c r="A89" t="s">
        <v>316</v>
      </c>
      <c r="B89" t="s">
        <v>317</v>
      </c>
      <c r="C89" t="str">
        <f>_xlfn.TEXTJOIN(",",TRUE, Employee[[#This Row],[Last Name]], Employee[[#This Row],[First Name]])</f>
        <v>Booker, Judith</v>
      </c>
      <c r="D89" t="s">
        <v>137</v>
      </c>
      <c r="E89" t="s">
        <v>223</v>
      </c>
      <c r="F89" s="61">
        <v>40118</v>
      </c>
      <c r="G89">
        <v>7</v>
      </c>
      <c r="H89" t="s">
        <v>145</v>
      </c>
      <c r="I89" s="62">
        <v>88499</v>
      </c>
      <c r="J89">
        <v>4</v>
      </c>
    </row>
    <row r="90" spans="1:10" hidden="1" x14ac:dyDescent="0.25">
      <c r="A90" t="s">
        <v>318</v>
      </c>
      <c r="B90" t="s">
        <v>198</v>
      </c>
      <c r="C90" t="str">
        <f>_xlfn.TEXTJOIN(",",TRUE, Employee[[#This Row],[Last Name]], Employee[[#This Row],[First Name]])</f>
        <v>Dorsey, Matthew</v>
      </c>
      <c r="D90" t="s">
        <v>161</v>
      </c>
      <c r="E90" t="s">
        <v>223</v>
      </c>
      <c r="F90" s="61">
        <v>41579</v>
      </c>
      <c r="G90">
        <v>3</v>
      </c>
      <c r="H90" t="s">
        <v>152</v>
      </c>
      <c r="I90" s="62">
        <v>104499</v>
      </c>
      <c r="J90">
        <v>3</v>
      </c>
    </row>
    <row r="91" spans="1:10" hidden="1" x14ac:dyDescent="0.25">
      <c r="A91" t="s">
        <v>319</v>
      </c>
      <c r="B91" t="s">
        <v>320</v>
      </c>
      <c r="C91" t="str">
        <f>_xlfn.TEXTJOIN(",",TRUE, Employee[[#This Row],[Last Name]], Employee[[#This Row],[First Name]])</f>
        <v>Gardner, Anthony</v>
      </c>
      <c r="D91" t="s">
        <v>161</v>
      </c>
      <c r="E91" t="s">
        <v>223</v>
      </c>
      <c r="F91" s="61">
        <v>40881</v>
      </c>
      <c r="G91">
        <v>5</v>
      </c>
      <c r="H91" t="s">
        <v>145</v>
      </c>
      <c r="I91" s="62">
        <v>108152</v>
      </c>
      <c r="J91">
        <v>1</v>
      </c>
    </row>
    <row r="92" spans="1:10" hidden="1" x14ac:dyDescent="0.25">
      <c r="A92" t="s">
        <v>321</v>
      </c>
      <c r="B92" t="s">
        <v>291</v>
      </c>
      <c r="C92" t="str">
        <f>_xlfn.TEXTJOIN(",",TRUE, Employee[[#This Row],[Last Name]], Employee[[#This Row],[First Name]])</f>
        <v>Hammond, Robert</v>
      </c>
      <c r="D92" t="s">
        <v>161</v>
      </c>
      <c r="E92" t="s">
        <v>223</v>
      </c>
      <c r="F92" s="61">
        <v>41958</v>
      </c>
      <c r="G92">
        <v>2</v>
      </c>
      <c r="H92" t="s">
        <v>142</v>
      </c>
      <c r="I92" s="62">
        <v>126555</v>
      </c>
      <c r="J92">
        <v>5</v>
      </c>
    </row>
    <row r="93" spans="1:10" x14ac:dyDescent="0.25">
      <c r="A93" t="s">
        <v>322</v>
      </c>
      <c r="B93" t="s">
        <v>323</v>
      </c>
      <c r="C93" t="str">
        <f>_xlfn.TEXTJOIN(",",TRUE, Employee[[#This Row],[Last Name]], Employee[[#This Row],[First Name]])</f>
        <v>Clayton, Gregory</v>
      </c>
      <c r="D93" t="s">
        <v>155</v>
      </c>
      <c r="E93" t="s">
        <v>223</v>
      </c>
      <c r="F93" s="61">
        <v>37584</v>
      </c>
      <c r="G93">
        <v>14</v>
      </c>
      <c r="H93" t="s">
        <v>185</v>
      </c>
      <c r="I93" s="62">
        <v>57059</v>
      </c>
      <c r="J93">
        <v>1</v>
      </c>
    </row>
    <row r="94" spans="1:10" x14ac:dyDescent="0.25">
      <c r="A94" t="s">
        <v>324</v>
      </c>
      <c r="B94" t="s">
        <v>269</v>
      </c>
      <c r="C94" t="str">
        <f>_xlfn.TEXTJOIN(",",TRUE, Employee[[#This Row],[Last Name]], Employee[[#This Row],[First Name]])</f>
        <v>Martinez, Kathleen</v>
      </c>
      <c r="D94" t="s">
        <v>161</v>
      </c>
      <c r="E94" t="s">
        <v>223</v>
      </c>
      <c r="F94" s="61">
        <v>38319</v>
      </c>
      <c r="G94">
        <v>12</v>
      </c>
      <c r="H94" t="s">
        <v>139</v>
      </c>
      <c r="I94" s="62">
        <v>123803</v>
      </c>
      <c r="J94">
        <v>5</v>
      </c>
    </row>
    <row r="95" spans="1:10" x14ac:dyDescent="0.25">
      <c r="A95" t="s">
        <v>325</v>
      </c>
      <c r="B95" t="s">
        <v>216</v>
      </c>
      <c r="C95" t="str">
        <f>_xlfn.TEXTJOIN(",",TRUE, Employee[[#This Row],[Last Name]], Employee[[#This Row],[First Name]])</f>
        <v>Becker, Gretchen</v>
      </c>
      <c r="D95" t="s">
        <v>137</v>
      </c>
      <c r="E95" t="s">
        <v>223</v>
      </c>
      <c r="F95" s="61">
        <v>39038</v>
      </c>
      <c r="G95">
        <v>10</v>
      </c>
      <c r="H95" t="s">
        <v>139</v>
      </c>
      <c r="I95" s="62">
        <v>85917</v>
      </c>
      <c r="J95">
        <v>5</v>
      </c>
    </row>
    <row r="96" spans="1:10" hidden="1" x14ac:dyDescent="0.25">
      <c r="A96" t="s">
        <v>326</v>
      </c>
      <c r="B96" t="s">
        <v>218</v>
      </c>
      <c r="C96" t="str">
        <f>_xlfn.TEXTJOIN(",",TRUE, Employee[[#This Row],[Last Name]], Employee[[#This Row],[First Name]])</f>
        <v>Thompson, John</v>
      </c>
      <c r="D96" t="s">
        <v>151</v>
      </c>
      <c r="E96" t="s">
        <v>223</v>
      </c>
      <c r="F96" s="61">
        <v>40880</v>
      </c>
      <c r="G96">
        <v>5</v>
      </c>
      <c r="H96" t="s">
        <v>168</v>
      </c>
      <c r="I96" s="62">
        <v>53330</v>
      </c>
      <c r="J96">
        <v>3</v>
      </c>
    </row>
    <row r="97" spans="1:10" hidden="1" x14ac:dyDescent="0.25">
      <c r="A97" t="s">
        <v>327</v>
      </c>
      <c r="B97" t="s">
        <v>328</v>
      </c>
      <c r="C97" t="str">
        <f>_xlfn.TEXTJOIN(",",TRUE, Employee[[#This Row],[Last Name]], Employee[[#This Row],[First Name]])</f>
        <v>Cortez, Jack</v>
      </c>
      <c r="D97" t="s">
        <v>161</v>
      </c>
      <c r="E97" t="s">
        <v>329</v>
      </c>
      <c r="F97" s="61">
        <v>40570</v>
      </c>
      <c r="G97">
        <v>6</v>
      </c>
      <c r="H97" t="s">
        <v>139</v>
      </c>
      <c r="I97" s="62">
        <v>73102</v>
      </c>
      <c r="J97">
        <v>4</v>
      </c>
    </row>
    <row r="98" spans="1:10" hidden="1" x14ac:dyDescent="0.25">
      <c r="A98" t="s">
        <v>330</v>
      </c>
      <c r="B98" t="s">
        <v>323</v>
      </c>
      <c r="C98" t="str">
        <f>_xlfn.TEXTJOIN(",",TRUE, Employee[[#This Row],[Last Name]], Employee[[#This Row],[First Name]])</f>
        <v>Hardin, Gregory</v>
      </c>
      <c r="D98" t="s">
        <v>155</v>
      </c>
      <c r="E98" t="s">
        <v>329</v>
      </c>
      <c r="F98" s="61">
        <v>39833</v>
      </c>
      <c r="G98">
        <v>8</v>
      </c>
      <c r="H98" t="s">
        <v>145</v>
      </c>
      <c r="I98" s="62">
        <v>112538</v>
      </c>
      <c r="J98">
        <v>2</v>
      </c>
    </row>
    <row r="99" spans="1:10" hidden="1" x14ac:dyDescent="0.25">
      <c r="A99" t="s">
        <v>331</v>
      </c>
      <c r="B99" t="s">
        <v>332</v>
      </c>
      <c r="C99" t="str">
        <f>_xlfn.TEXTJOIN(",",TRUE, Employee[[#This Row],[Last Name]], Employee[[#This Row],[First Name]])</f>
        <v>Pacheco, Therese</v>
      </c>
      <c r="D99" t="s">
        <v>161</v>
      </c>
      <c r="E99" t="s">
        <v>329</v>
      </c>
      <c r="F99" s="61">
        <v>40607</v>
      </c>
      <c r="G99">
        <v>6</v>
      </c>
      <c r="H99" t="s">
        <v>145</v>
      </c>
      <c r="I99" s="62">
        <v>43819</v>
      </c>
      <c r="J99">
        <v>4</v>
      </c>
    </row>
    <row r="100" spans="1:10" hidden="1" x14ac:dyDescent="0.25">
      <c r="A100" t="s">
        <v>333</v>
      </c>
      <c r="B100" t="s">
        <v>144</v>
      </c>
      <c r="C100" t="str">
        <f>_xlfn.TEXTJOIN(",",TRUE, Employee[[#This Row],[Last Name]], Employee[[#This Row],[First Name]])</f>
        <v>Stokes, Jonathan</v>
      </c>
      <c r="D100" t="s">
        <v>155</v>
      </c>
      <c r="E100" t="s">
        <v>329</v>
      </c>
      <c r="F100" s="61">
        <v>41331</v>
      </c>
      <c r="G100">
        <v>4</v>
      </c>
      <c r="H100" t="s">
        <v>145</v>
      </c>
      <c r="I100" s="62">
        <v>85139</v>
      </c>
      <c r="J100">
        <v>5</v>
      </c>
    </row>
    <row r="101" spans="1:10" hidden="1" x14ac:dyDescent="0.25">
      <c r="A101" t="s">
        <v>334</v>
      </c>
      <c r="B101" t="s">
        <v>335</v>
      </c>
      <c r="C101" t="str">
        <f>_xlfn.TEXTJOIN(",",TRUE, Employee[[#This Row],[Last Name]], Employee[[#This Row],[First Name]])</f>
        <v>Kerr, Mihaela</v>
      </c>
      <c r="D101" t="s">
        <v>155</v>
      </c>
      <c r="E101" t="s">
        <v>329</v>
      </c>
      <c r="F101" s="61">
        <v>41001</v>
      </c>
      <c r="G101">
        <v>5</v>
      </c>
      <c r="H101" t="s">
        <v>139</v>
      </c>
      <c r="I101" s="62">
        <v>82680</v>
      </c>
      <c r="J101">
        <v>3</v>
      </c>
    </row>
    <row r="102" spans="1:10" x14ac:dyDescent="0.25">
      <c r="A102" t="s">
        <v>336</v>
      </c>
      <c r="B102" t="s">
        <v>337</v>
      </c>
      <c r="C102" t="str">
        <f>_xlfn.TEXTJOIN(",",TRUE, Employee[[#This Row],[Last Name]], Employee[[#This Row],[First Name]])</f>
        <v>Juarez, Neill</v>
      </c>
      <c r="D102" t="s">
        <v>155</v>
      </c>
      <c r="E102" t="s">
        <v>329</v>
      </c>
      <c r="F102" s="61">
        <v>38961</v>
      </c>
      <c r="G102">
        <v>11</v>
      </c>
      <c r="H102" t="s">
        <v>139</v>
      </c>
      <c r="I102" s="62">
        <v>103259</v>
      </c>
      <c r="J102">
        <v>1</v>
      </c>
    </row>
    <row r="103" spans="1:10" hidden="1" x14ac:dyDescent="0.25">
      <c r="A103" t="s">
        <v>338</v>
      </c>
      <c r="B103" t="s">
        <v>339</v>
      </c>
      <c r="C103" t="str">
        <f>_xlfn.TEXTJOIN(",",TRUE, Employee[[#This Row],[Last Name]], Employee[[#This Row],[First Name]])</f>
        <v>Wade, Kevin</v>
      </c>
      <c r="D103" t="s">
        <v>178</v>
      </c>
      <c r="E103" t="s">
        <v>329</v>
      </c>
      <c r="F103" s="61">
        <v>40466</v>
      </c>
      <c r="G103">
        <v>7</v>
      </c>
      <c r="H103" t="s">
        <v>139</v>
      </c>
      <c r="I103" s="62">
        <v>71073</v>
      </c>
      <c r="J103">
        <v>4</v>
      </c>
    </row>
    <row r="104" spans="1:10" hidden="1" x14ac:dyDescent="0.25">
      <c r="A104" t="s">
        <v>340</v>
      </c>
      <c r="B104" t="s">
        <v>341</v>
      </c>
      <c r="C104" t="str">
        <f>_xlfn.TEXTJOIN(",",TRUE, Employee[[#This Row],[Last Name]], Employee[[#This Row],[First Name]])</f>
        <v>Cohen, Bruce</v>
      </c>
      <c r="D104" t="s">
        <v>148</v>
      </c>
      <c r="E104" t="s">
        <v>329</v>
      </c>
      <c r="F104" s="61">
        <v>41583</v>
      </c>
      <c r="G104">
        <v>3</v>
      </c>
      <c r="H104" t="s">
        <v>185</v>
      </c>
      <c r="I104" s="62">
        <v>70153</v>
      </c>
      <c r="J104">
        <v>2</v>
      </c>
    </row>
    <row r="105" spans="1:10" hidden="1" x14ac:dyDescent="0.25">
      <c r="A105" t="s">
        <v>342</v>
      </c>
      <c r="B105" t="s">
        <v>341</v>
      </c>
      <c r="C105" t="str">
        <f>_xlfn.TEXTJOIN(",",TRUE, Employee[[#This Row],[Last Name]], Employee[[#This Row],[First Name]])</f>
        <v>Norton, Bruce</v>
      </c>
      <c r="D105" t="s">
        <v>161</v>
      </c>
      <c r="E105" t="s">
        <v>343</v>
      </c>
      <c r="F105" s="61">
        <v>39814</v>
      </c>
      <c r="G105">
        <v>8</v>
      </c>
      <c r="H105" t="s">
        <v>185</v>
      </c>
      <c r="I105" s="62">
        <v>53099</v>
      </c>
      <c r="J105">
        <v>3</v>
      </c>
    </row>
    <row r="106" spans="1:10" x14ac:dyDescent="0.25">
      <c r="A106" t="s">
        <v>344</v>
      </c>
      <c r="B106" t="s">
        <v>345</v>
      </c>
      <c r="C106" t="str">
        <f>_xlfn.TEXTJOIN(",",TRUE, Employee[[#This Row],[Last Name]], Employee[[#This Row],[First Name]])</f>
        <v>Gomez, Ed</v>
      </c>
      <c r="D106" t="s">
        <v>178</v>
      </c>
      <c r="E106" t="s">
        <v>343</v>
      </c>
      <c r="F106" s="61">
        <v>37260</v>
      </c>
      <c r="G106">
        <v>15</v>
      </c>
      <c r="H106" t="s">
        <v>185</v>
      </c>
      <c r="I106" s="62">
        <v>52560</v>
      </c>
      <c r="J106">
        <v>5</v>
      </c>
    </row>
    <row r="107" spans="1:10" hidden="1" x14ac:dyDescent="0.25">
      <c r="A107" t="s">
        <v>346</v>
      </c>
      <c r="B107" t="s">
        <v>347</v>
      </c>
      <c r="C107" t="str">
        <f>_xlfn.TEXTJOIN(",",TRUE, Employee[[#This Row],[Last Name]], Employee[[#This Row],[First Name]])</f>
        <v>Carey, Andrea</v>
      </c>
      <c r="D107" t="s">
        <v>155</v>
      </c>
      <c r="E107" t="s">
        <v>343</v>
      </c>
      <c r="F107" s="61">
        <v>41650</v>
      </c>
      <c r="G107">
        <v>3</v>
      </c>
      <c r="H107" t="s">
        <v>185</v>
      </c>
      <c r="I107" s="62">
        <v>46834</v>
      </c>
      <c r="J107">
        <v>4</v>
      </c>
    </row>
    <row r="108" spans="1:10" hidden="1" x14ac:dyDescent="0.25">
      <c r="A108" t="s">
        <v>348</v>
      </c>
      <c r="B108" t="s">
        <v>349</v>
      </c>
      <c r="C108" t="str">
        <f>_xlfn.TEXTJOIN(",",TRUE, Employee[[#This Row],[Last Name]], Employee[[#This Row],[First Name]])</f>
        <v>Kim, Deborah</v>
      </c>
      <c r="D108" t="s">
        <v>151</v>
      </c>
      <c r="E108" t="s">
        <v>343</v>
      </c>
      <c r="F108" s="61">
        <v>39879</v>
      </c>
      <c r="G108">
        <v>8</v>
      </c>
      <c r="H108" t="s">
        <v>152</v>
      </c>
      <c r="I108" s="62">
        <v>97652</v>
      </c>
      <c r="J108">
        <v>1</v>
      </c>
    </row>
    <row r="109" spans="1:10" x14ac:dyDescent="0.25">
      <c r="A109" t="s">
        <v>350</v>
      </c>
      <c r="B109" t="s">
        <v>351</v>
      </c>
      <c r="C109" t="str">
        <f>_xlfn.TEXTJOIN(",",TRUE, Employee[[#This Row],[Last Name]], Employee[[#This Row],[First Name]])</f>
        <v>Foley, Peter</v>
      </c>
      <c r="D109" t="s">
        <v>161</v>
      </c>
      <c r="E109" t="s">
        <v>343</v>
      </c>
      <c r="F109" s="61">
        <v>37327</v>
      </c>
      <c r="G109">
        <v>15</v>
      </c>
      <c r="H109" t="s">
        <v>139</v>
      </c>
      <c r="I109" s="62">
        <v>44377</v>
      </c>
      <c r="J109">
        <v>2</v>
      </c>
    </row>
    <row r="110" spans="1:10" hidden="1" x14ac:dyDescent="0.25">
      <c r="A110" t="s">
        <v>352</v>
      </c>
      <c r="B110" t="s">
        <v>353</v>
      </c>
      <c r="C110" t="str">
        <f>_xlfn.TEXTJOIN(",",TRUE, Employee[[#This Row],[Last Name]], Employee[[#This Row],[First Name]])</f>
        <v>Landry, Linda</v>
      </c>
      <c r="D110" t="s">
        <v>155</v>
      </c>
      <c r="E110" t="s">
        <v>343</v>
      </c>
      <c r="F110" s="61">
        <v>40225</v>
      </c>
      <c r="G110">
        <v>7</v>
      </c>
      <c r="H110" t="s">
        <v>185</v>
      </c>
      <c r="I110" s="62">
        <v>84107</v>
      </c>
      <c r="J110">
        <v>5</v>
      </c>
    </row>
    <row r="111" spans="1:10" hidden="1" x14ac:dyDescent="0.25">
      <c r="A111" t="s">
        <v>354</v>
      </c>
      <c r="B111" t="s">
        <v>355</v>
      </c>
      <c r="C111" t="str">
        <f>_xlfn.TEXTJOIN(",",TRUE, Employee[[#This Row],[Last Name]], Employee[[#This Row],[First Name]])</f>
        <v>Hill, Robin</v>
      </c>
      <c r="D111" t="s">
        <v>161</v>
      </c>
      <c r="E111" t="s">
        <v>343</v>
      </c>
      <c r="F111" s="61">
        <v>41391</v>
      </c>
      <c r="G111">
        <v>4</v>
      </c>
      <c r="H111" t="s">
        <v>145</v>
      </c>
      <c r="I111" s="62">
        <v>64749</v>
      </c>
      <c r="J111">
        <v>4</v>
      </c>
    </row>
    <row r="112" spans="1:10" hidden="1" x14ac:dyDescent="0.25">
      <c r="A112" t="s">
        <v>356</v>
      </c>
      <c r="B112" t="s">
        <v>175</v>
      </c>
      <c r="C112" t="str">
        <f>_xlfn.TEXTJOIN(",",TRUE, Employee[[#This Row],[Last Name]], Employee[[#This Row],[First Name]])</f>
        <v>Malone, Daniel</v>
      </c>
      <c r="D112" t="s">
        <v>155</v>
      </c>
      <c r="E112" t="s">
        <v>343</v>
      </c>
      <c r="F112" s="61">
        <v>40724</v>
      </c>
      <c r="G112">
        <v>6</v>
      </c>
      <c r="H112" t="s">
        <v>185</v>
      </c>
      <c r="I112" s="62">
        <v>96101</v>
      </c>
      <c r="J112">
        <v>1</v>
      </c>
    </row>
    <row r="113" spans="1:10" hidden="1" x14ac:dyDescent="0.25">
      <c r="A113" t="s">
        <v>357</v>
      </c>
      <c r="B113" t="s">
        <v>358</v>
      </c>
      <c r="C113" t="str">
        <f>_xlfn.TEXTJOIN(",",TRUE, Employee[[#This Row],[Last Name]], Employee[[#This Row],[First Name]])</f>
        <v>Hawkins, Douglas</v>
      </c>
      <c r="D113" t="s">
        <v>161</v>
      </c>
      <c r="E113" t="s">
        <v>343</v>
      </c>
      <c r="F113" s="61">
        <v>41594</v>
      </c>
      <c r="G113">
        <v>3</v>
      </c>
      <c r="H113" t="s">
        <v>185</v>
      </c>
      <c r="I113" s="62">
        <v>60275</v>
      </c>
      <c r="J113">
        <v>1</v>
      </c>
    </row>
    <row r="114" spans="1:10" hidden="1" x14ac:dyDescent="0.25">
      <c r="A114" t="s">
        <v>359</v>
      </c>
      <c r="B114" t="s">
        <v>360</v>
      </c>
      <c r="C114" t="str">
        <f>_xlfn.TEXTJOIN(",",TRUE, Employee[[#This Row],[Last Name]], Employee[[#This Row],[First Name]])</f>
        <v>Baker, Barney</v>
      </c>
      <c r="D114" t="s">
        <v>148</v>
      </c>
      <c r="E114" t="s">
        <v>361</v>
      </c>
      <c r="F114" s="61">
        <v>41628</v>
      </c>
      <c r="G114">
        <v>3</v>
      </c>
      <c r="H114" t="s">
        <v>145</v>
      </c>
      <c r="I114" s="62">
        <v>65190</v>
      </c>
      <c r="J114">
        <v>2</v>
      </c>
    </row>
    <row r="115" spans="1:10" hidden="1" x14ac:dyDescent="0.25">
      <c r="A115" t="s">
        <v>362</v>
      </c>
      <c r="B115" t="s">
        <v>165</v>
      </c>
      <c r="C115" t="str">
        <f>_xlfn.TEXTJOIN(",",TRUE, Employee[[#This Row],[Last Name]], Employee[[#This Row],[First Name]])</f>
        <v>Allison, Timothy</v>
      </c>
      <c r="D115" t="s">
        <v>161</v>
      </c>
      <c r="E115" t="s">
        <v>361</v>
      </c>
      <c r="F115" s="61">
        <v>41996</v>
      </c>
      <c r="G115">
        <v>2</v>
      </c>
      <c r="H115" t="s">
        <v>152</v>
      </c>
      <c r="I115" s="62">
        <v>121677</v>
      </c>
      <c r="J115">
        <v>5</v>
      </c>
    </row>
    <row r="116" spans="1:10" hidden="1" x14ac:dyDescent="0.25">
      <c r="A116" t="s">
        <v>363</v>
      </c>
      <c r="B116" t="s">
        <v>364</v>
      </c>
      <c r="C116" t="str">
        <f>_xlfn.TEXTJOIN(",",TRUE, Employee[[#This Row],[Last Name]], Employee[[#This Row],[First Name]])</f>
        <v>McCoy, Preston</v>
      </c>
      <c r="D116" t="s">
        <v>155</v>
      </c>
      <c r="E116" t="s">
        <v>361</v>
      </c>
      <c r="F116" s="61">
        <v>40185</v>
      </c>
      <c r="G116">
        <v>7</v>
      </c>
      <c r="H116" t="s">
        <v>168</v>
      </c>
      <c r="I116" s="62">
        <v>54749</v>
      </c>
      <c r="J116">
        <v>4</v>
      </c>
    </row>
    <row r="117" spans="1:10" x14ac:dyDescent="0.25">
      <c r="A117" t="s">
        <v>365</v>
      </c>
      <c r="B117" t="s">
        <v>366</v>
      </c>
      <c r="C117" t="str">
        <f>_xlfn.TEXTJOIN(",",TRUE, Employee[[#This Row],[Last Name]], Employee[[#This Row],[First Name]])</f>
        <v>Maxwell, Jill</v>
      </c>
      <c r="D117" t="s">
        <v>148</v>
      </c>
      <c r="E117" t="s">
        <v>361</v>
      </c>
      <c r="F117" s="61">
        <v>37254</v>
      </c>
      <c r="G117">
        <v>15</v>
      </c>
      <c r="H117" t="s">
        <v>145</v>
      </c>
      <c r="I117" s="62">
        <v>74258</v>
      </c>
      <c r="J117">
        <v>5</v>
      </c>
    </row>
    <row r="118" spans="1:10" hidden="1" x14ac:dyDescent="0.25">
      <c r="A118" t="s">
        <v>367</v>
      </c>
      <c r="B118" t="s">
        <v>368</v>
      </c>
      <c r="C118" t="str">
        <f>_xlfn.TEXTJOIN(",",TRUE, Employee[[#This Row],[Last Name]], Employee[[#This Row],[First Name]])</f>
        <v>Garner, Terry</v>
      </c>
      <c r="D118" t="s">
        <v>151</v>
      </c>
      <c r="E118" t="s">
        <v>361</v>
      </c>
      <c r="F118" s="61">
        <v>39852</v>
      </c>
      <c r="G118">
        <v>8</v>
      </c>
      <c r="H118" t="s">
        <v>139</v>
      </c>
      <c r="I118" s="62">
        <v>108255</v>
      </c>
      <c r="J118">
        <v>4</v>
      </c>
    </row>
    <row r="119" spans="1:10" x14ac:dyDescent="0.25">
      <c r="A119" t="s">
        <v>369</v>
      </c>
      <c r="B119" t="s">
        <v>170</v>
      </c>
      <c r="C119" t="str">
        <f>_xlfn.TEXTJOIN(",",TRUE, Employee[[#This Row],[Last Name]], Employee[[#This Row],[First Name]])</f>
        <v>Durham, Troy</v>
      </c>
      <c r="D119" t="s">
        <v>178</v>
      </c>
      <c r="E119" t="s">
        <v>361</v>
      </c>
      <c r="F119" s="61">
        <v>38745</v>
      </c>
      <c r="G119">
        <v>11</v>
      </c>
      <c r="H119" t="s">
        <v>145</v>
      </c>
      <c r="I119" s="62">
        <v>121550</v>
      </c>
      <c r="J119">
        <v>2</v>
      </c>
    </row>
    <row r="120" spans="1:10" hidden="1" x14ac:dyDescent="0.25">
      <c r="A120" t="s">
        <v>370</v>
      </c>
      <c r="B120" t="s">
        <v>371</v>
      </c>
      <c r="C120" t="str">
        <f>_xlfn.TEXTJOIN(",",TRUE, Employee[[#This Row],[Last Name]], Employee[[#This Row],[First Name]])</f>
        <v>Ray, ReAnnon</v>
      </c>
      <c r="D120" t="s">
        <v>137</v>
      </c>
      <c r="E120" t="s">
        <v>361</v>
      </c>
      <c r="F120" s="61">
        <v>41341</v>
      </c>
      <c r="G120">
        <v>4</v>
      </c>
      <c r="H120" t="s">
        <v>145</v>
      </c>
      <c r="I120" s="62">
        <v>105911</v>
      </c>
      <c r="J120">
        <v>2</v>
      </c>
    </row>
    <row r="121" spans="1:10" x14ac:dyDescent="0.25">
      <c r="A121" t="s">
        <v>372</v>
      </c>
      <c r="B121" t="s">
        <v>373</v>
      </c>
      <c r="C121" t="str">
        <f>_xlfn.TEXTJOIN(",",TRUE, Employee[[#This Row],[Last Name]], Employee[[#This Row],[First Name]])</f>
        <v>Winters, Shaun</v>
      </c>
      <c r="D121" t="s">
        <v>155</v>
      </c>
      <c r="E121" t="s">
        <v>361</v>
      </c>
      <c r="F121" s="61">
        <v>37347</v>
      </c>
      <c r="G121">
        <v>15</v>
      </c>
      <c r="H121" t="s">
        <v>185</v>
      </c>
      <c r="I121" s="62">
        <v>42552</v>
      </c>
      <c r="J121">
        <v>1</v>
      </c>
    </row>
    <row r="122" spans="1:10" x14ac:dyDescent="0.25">
      <c r="A122" t="s">
        <v>374</v>
      </c>
      <c r="B122" t="s">
        <v>375</v>
      </c>
      <c r="C122" t="str">
        <f>_xlfn.TEXTJOIN(",",TRUE, Employee[[#This Row],[Last Name]], Employee[[#This Row],[First Name]])</f>
        <v>Roberson, Eileen</v>
      </c>
      <c r="D122" t="s">
        <v>161</v>
      </c>
      <c r="E122" t="s">
        <v>361</v>
      </c>
      <c r="F122" s="61">
        <v>37037</v>
      </c>
      <c r="G122">
        <v>16</v>
      </c>
      <c r="H122" t="s">
        <v>145</v>
      </c>
      <c r="I122" s="62">
        <v>103026</v>
      </c>
      <c r="J122">
        <v>3</v>
      </c>
    </row>
    <row r="123" spans="1:10" hidden="1" x14ac:dyDescent="0.25">
      <c r="A123" t="s">
        <v>376</v>
      </c>
      <c r="B123" t="s">
        <v>177</v>
      </c>
      <c r="C123" t="str">
        <f>_xlfn.TEXTJOIN(",",TRUE, Employee[[#This Row],[Last Name]], Employee[[#This Row],[First Name]])</f>
        <v>Perkins, Donald</v>
      </c>
      <c r="D123" t="s">
        <v>137</v>
      </c>
      <c r="E123" t="s">
        <v>361</v>
      </c>
      <c r="F123" s="61">
        <v>41830</v>
      </c>
      <c r="G123">
        <v>3</v>
      </c>
      <c r="H123" t="s">
        <v>185</v>
      </c>
      <c r="I123" s="62">
        <v>57534</v>
      </c>
      <c r="J123">
        <v>5</v>
      </c>
    </row>
    <row r="124" spans="1:10" x14ac:dyDescent="0.25">
      <c r="A124" t="s">
        <v>377</v>
      </c>
      <c r="B124" t="s">
        <v>378</v>
      </c>
      <c r="C124" t="str">
        <f>_xlfn.TEXTJOIN(",",TRUE, Employee[[#This Row],[Last Name]], Employee[[#This Row],[First Name]])</f>
        <v>Copeland, Roger</v>
      </c>
      <c r="D124" t="s">
        <v>151</v>
      </c>
      <c r="E124" t="s">
        <v>361</v>
      </c>
      <c r="F124" s="61">
        <v>37420</v>
      </c>
      <c r="G124">
        <v>15</v>
      </c>
      <c r="H124" t="s">
        <v>145</v>
      </c>
      <c r="I124" s="62">
        <v>72104</v>
      </c>
      <c r="J124">
        <v>4</v>
      </c>
    </row>
    <row r="125" spans="1:10" x14ac:dyDescent="0.25">
      <c r="A125" t="s">
        <v>379</v>
      </c>
      <c r="B125" t="s">
        <v>380</v>
      </c>
      <c r="C125" t="str">
        <f>_xlfn.TEXTJOIN(",",TRUE, Employee[[#This Row],[Last Name]], Employee[[#This Row],[First Name]])</f>
        <v>Silva, Stephen</v>
      </c>
      <c r="D125" t="s">
        <v>161</v>
      </c>
      <c r="E125" t="s">
        <v>361</v>
      </c>
      <c r="F125" s="61">
        <v>37435</v>
      </c>
      <c r="G125">
        <v>15</v>
      </c>
      <c r="H125" t="s">
        <v>168</v>
      </c>
      <c r="I125" s="62">
        <v>64206</v>
      </c>
      <c r="J125">
        <v>1</v>
      </c>
    </row>
    <row r="126" spans="1:10" hidden="1" x14ac:dyDescent="0.25">
      <c r="A126" t="s">
        <v>381</v>
      </c>
      <c r="B126" t="s">
        <v>218</v>
      </c>
      <c r="C126" t="str">
        <f>_xlfn.TEXTJOIN(",",TRUE, Employee[[#This Row],[Last Name]], Employee[[#This Row],[First Name]])</f>
        <v>Lloyd, John</v>
      </c>
      <c r="D126" t="s">
        <v>155</v>
      </c>
      <c r="E126" t="s">
        <v>361</v>
      </c>
      <c r="F126" s="61">
        <v>42206</v>
      </c>
      <c r="G126">
        <v>2</v>
      </c>
      <c r="H126" t="s">
        <v>185</v>
      </c>
      <c r="I126" s="62">
        <v>73650</v>
      </c>
      <c r="J126">
        <v>4</v>
      </c>
    </row>
    <row r="127" spans="1:10" hidden="1" x14ac:dyDescent="0.25">
      <c r="A127" t="s">
        <v>382</v>
      </c>
      <c r="B127" t="s">
        <v>165</v>
      </c>
      <c r="C127" t="str">
        <f>_xlfn.TEXTJOIN(",",TRUE, Employee[[#This Row],[Last Name]], Employee[[#This Row],[First Name]])</f>
        <v>Park, Timothy</v>
      </c>
      <c r="D127" t="s">
        <v>155</v>
      </c>
      <c r="E127" t="s">
        <v>361</v>
      </c>
      <c r="F127" s="61">
        <v>40038</v>
      </c>
      <c r="G127">
        <v>8</v>
      </c>
      <c r="H127" t="s">
        <v>145</v>
      </c>
      <c r="I127" s="62">
        <v>67318</v>
      </c>
      <c r="J127">
        <v>2</v>
      </c>
    </row>
    <row r="128" spans="1:10" x14ac:dyDescent="0.25">
      <c r="A128" t="s">
        <v>383</v>
      </c>
      <c r="B128" t="s">
        <v>384</v>
      </c>
      <c r="C128" t="str">
        <f>_xlfn.TEXTJOIN(",",TRUE, Employee[[#This Row],[Last Name]], Employee[[#This Row],[First Name]])</f>
        <v>Molina, Michael</v>
      </c>
      <c r="D128" t="s">
        <v>161</v>
      </c>
      <c r="E128" t="s">
        <v>361</v>
      </c>
      <c r="F128" s="61">
        <v>38191</v>
      </c>
      <c r="G128">
        <v>13</v>
      </c>
      <c r="H128" t="s">
        <v>152</v>
      </c>
      <c r="I128" s="62">
        <v>76680</v>
      </c>
      <c r="J128">
        <v>4</v>
      </c>
    </row>
    <row r="129" spans="1:10" x14ac:dyDescent="0.25">
      <c r="A129" t="s">
        <v>385</v>
      </c>
      <c r="B129" t="s">
        <v>386</v>
      </c>
      <c r="C129" t="str">
        <f>_xlfn.TEXTJOIN(",",TRUE, Employee[[#This Row],[Last Name]], Employee[[#This Row],[First Name]])</f>
        <v>McDowell, Scott</v>
      </c>
      <c r="D129" t="s">
        <v>161</v>
      </c>
      <c r="E129" t="s">
        <v>361</v>
      </c>
      <c r="F129" s="61">
        <v>37155</v>
      </c>
      <c r="G129">
        <v>16</v>
      </c>
      <c r="H129" t="s">
        <v>185</v>
      </c>
      <c r="I129" s="62">
        <v>120696</v>
      </c>
      <c r="J129">
        <v>1</v>
      </c>
    </row>
    <row r="130" spans="1:10" hidden="1" x14ac:dyDescent="0.25">
      <c r="A130" t="s">
        <v>387</v>
      </c>
      <c r="B130" t="s">
        <v>244</v>
      </c>
      <c r="C130" t="str">
        <f>_xlfn.TEXTJOIN(",",TRUE, Employee[[#This Row],[Last Name]], Employee[[#This Row],[First Name]])</f>
        <v>Nixon, Randy</v>
      </c>
      <c r="D130" t="s">
        <v>155</v>
      </c>
      <c r="E130" t="s">
        <v>361</v>
      </c>
      <c r="F130" s="61">
        <v>40836</v>
      </c>
      <c r="G130">
        <v>5</v>
      </c>
      <c r="H130" t="s">
        <v>145</v>
      </c>
      <c r="I130" s="62">
        <v>114645</v>
      </c>
      <c r="J130">
        <v>5</v>
      </c>
    </row>
    <row r="131" spans="1:10" hidden="1" x14ac:dyDescent="0.25">
      <c r="A131" t="s">
        <v>388</v>
      </c>
      <c r="B131" t="s">
        <v>389</v>
      </c>
      <c r="C131" t="str">
        <f>_xlfn.TEXTJOIN(",",TRUE, Employee[[#This Row],[Last Name]], Employee[[#This Row],[First Name]])</f>
        <v>Figueroa, Leonard</v>
      </c>
      <c r="D131" t="s">
        <v>161</v>
      </c>
      <c r="E131" t="s">
        <v>361</v>
      </c>
      <c r="F131" s="61">
        <v>40102</v>
      </c>
      <c r="G131">
        <v>8</v>
      </c>
      <c r="H131" t="s">
        <v>145</v>
      </c>
      <c r="I131" s="62">
        <v>50730</v>
      </c>
      <c r="J131">
        <v>1</v>
      </c>
    </row>
    <row r="132" spans="1:10" x14ac:dyDescent="0.25">
      <c r="A132" t="s">
        <v>390</v>
      </c>
      <c r="B132" t="s">
        <v>355</v>
      </c>
      <c r="C132" t="str">
        <f>_xlfn.TEXTJOIN(",",TRUE, Employee[[#This Row],[Last Name]], Employee[[#This Row],[First Name]])</f>
        <v>Hutchinson, Robin</v>
      </c>
      <c r="D132" t="s">
        <v>151</v>
      </c>
      <c r="E132" t="s">
        <v>361</v>
      </c>
      <c r="F132" s="61">
        <v>38690</v>
      </c>
      <c r="G132">
        <v>11</v>
      </c>
      <c r="H132" t="s">
        <v>152</v>
      </c>
      <c r="I132" s="62">
        <v>99842</v>
      </c>
      <c r="J132">
        <v>1</v>
      </c>
    </row>
    <row r="133" spans="1:10" x14ac:dyDescent="0.25">
      <c r="A133" t="s">
        <v>391</v>
      </c>
      <c r="B133" t="s">
        <v>392</v>
      </c>
      <c r="C133" t="str">
        <f>_xlfn.TEXTJOIN(",",TRUE, Employee[[#This Row],[Last Name]], Employee[[#This Row],[First Name]])</f>
        <v>Nelson, Shira</v>
      </c>
      <c r="D133" t="s">
        <v>137</v>
      </c>
      <c r="E133" t="s">
        <v>393</v>
      </c>
      <c r="F133" s="61">
        <v>37647</v>
      </c>
      <c r="G133">
        <v>14</v>
      </c>
      <c r="H133" t="s">
        <v>185</v>
      </c>
      <c r="I133" s="62">
        <v>51343</v>
      </c>
      <c r="J133">
        <v>5</v>
      </c>
    </row>
    <row r="134" spans="1:10" hidden="1" x14ac:dyDescent="0.25">
      <c r="A134" t="s">
        <v>394</v>
      </c>
      <c r="B134" t="s">
        <v>291</v>
      </c>
      <c r="C134" t="str">
        <f>_xlfn.TEXTJOIN(",",TRUE, Employee[[#This Row],[Last Name]], Employee[[#This Row],[First Name]])</f>
        <v>Daniel, Robert</v>
      </c>
      <c r="D134" t="s">
        <v>155</v>
      </c>
      <c r="E134" t="s">
        <v>393</v>
      </c>
      <c r="F134" s="61">
        <v>40701</v>
      </c>
      <c r="G134">
        <v>6</v>
      </c>
      <c r="H134" t="s">
        <v>145</v>
      </c>
      <c r="I134" s="62">
        <v>104771</v>
      </c>
      <c r="J134">
        <v>2</v>
      </c>
    </row>
    <row r="135" spans="1:10" hidden="1" x14ac:dyDescent="0.25">
      <c r="A135" t="s">
        <v>395</v>
      </c>
      <c r="B135" t="s">
        <v>396</v>
      </c>
      <c r="C135" t="str">
        <f>_xlfn.TEXTJOIN(",",TRUE, Employee[[#This Row],[Last Name]], Employee[[#This Row],[First Name]])</f>
        <v>Barnett, Brenda</v>
      </c>
      <c r="D135" t="s">
        <v>155</v>
      </c>
      <c r="E135" t="s">
        <v>393</v>
      </c>
      <c r="F135" s="61">
        <v>40761</v>
      </c>
      <c r="G135">
        <v>6</v>
      </c>
      <c r="H135" t="s">
        <v>139</v>
      </c>
      <c r="I135" s="62">
        <v>51746</v>
      </c>
      <c r="J135">
        <v>5</v>
      </c>
    </row>
    <row r="136" spans="1:10" hidden="1" x14ac:dyDescent="0.25">
      <c r="A136" t="s">
        <v>397</v>
      </c>
      <c r="B136" t="s">
        <v>398</v>
      </c>
      <c r="C136" t="str">
        <f>_xlfn.TEXTJOIN(",",TRUE, Employee[[#This Row],[Last Name]], Employee[[#This Row],[First Name]])</f>
        <v>Gregory, Jon</v>
      </c>
      <c r="D136" t="s">
        <v>137</v>
      </c>
      <c r="E136" t="s">
        <v>393</v>
      </c>
      <c r="F136" s="61">
        <v>41478</v>
      </c>
      <c r="G136">
        <v>4</v>
      </c>
      <c r="H136" t="s">
        <v>185</v>
      </c>
      <c r="I136" s="62">
        <v>46397</v>
      </c>
      <c r="J136">
        <v>2</v>
      </c>
    </row>
    <row r="137" spans="1:10" hidden="1" x14ac:dyDescent="0.25">
      <c r="A137" t="s">
        <v>399</v>
      </c>
      <c r="B137" t="s">
        <v>400</v>
      </c>
      <c r="C137" t="str">
        <f>_xlfn.TEXTJOIN(",",TRUE, Employee[[#This Row],[Last Name]], Employee[[#This Row],[First Name]])</f>
        <v>Ramos, Jan</v>
      </c>
      <c r="D137" t="s">
        <v>161</v>
      </c>
      <c r="E137" t="s">
        <v>393</v>
      </c>
      <c r="F137" s="61">
        <v>41520</v>
      </c>
      <c r="G137">
        <v>4</v>
      </c>
      <c r="H137" t="s">
        <v>139</v>
      </c>
      <c r="I137" s="62">
        <v>52674</v>
      </c>
      <c r="J137">
        <v>2</v>
      </c>
    </row>
    <row r="138" spans="1:10" hidden="1" x14ac:dyDescent="0.25">
      <c r="A138" t="s">
        <v>401</v>
      </c>
      <c r="B138" t="s">
        <v>402</v>
      </c>
      <c r="C138" t="str">
        <f>_xlfn.TEXTJOIN(",",TRUE, Employee[[#This Row],[Last Name]], Employee[[#This Row],[First Name]])</f>
        <v>Calhoun, Dac Vinh</v>
      </c>
      <c r="D138" t="s">
        <v>155</v>
      </c>
      <c r="E138" t="s">
        <v>403</v>
      </c>
      <c r="F138" s="61">
        <v>41262</v>
      </c>
      <c r="G138">
        <v>4</v>
      </c>
      <c r="H138" t="s">
        <v>168</v>
      </c>
      <c r="I138" s="62">
        <v>117958</v>
      </c>
      <c r="J138">
        <v>3</v>
      </c>
    </row>
    <row r="139" spans="1:10" hidden="1" x14ac:dyDescent="0.25">
      <c r="A139" t="s">
        <v>404</v>
      </c>
      <c r="B139" t="s">
        <v>405</v>
      </c>
      <c r="C139" t="str">
        <f>_xlfn.TEXTJOIN(",",TRUE, Employee[[#This Row],[Last Name]], Employee[[#This Row],[First Name]])</f>
        <v>Adams, David</v>
      </c>
      <c r="D139" t="s">
        <v>161</v>
      </c>
      <c r="E139" t="s">
        <v>403</v>
      </c>
      <c r="F139" s="61">
        <v>41276</v>
      </c>
      <c r="G139">
        <v>4</v>
      </c>
      <c r="H139" t="s">
        <v>168</v>
      </c>
      <c r="I139" s="62">
        <v>55593</v>
      </c>
      <c r="J139">
        <v>3</v>
      </c>
    </row>
    <row r="140" spans="1:10" x14ac:dyDescent="0.25">
      <c r="A140" t="s">
        <v>406</v>
      </c>
      <c r="B140" t="s">
        <v>407</v>
      </c>
      <c r="C140" t="str">
        <f>_xlfn.TEXTJOIN(",",TRUE, Employee[[#This Row],[Last Name]], Employee[[#This Row],[First Name]])</f>
        <v>Bass, Justin</v>
      </c>
      <c r="D140" t="s">
        <v>155</v>
      </c>
      <c r="E140" t="s">
        <v>403</v>
      </c>
      <c r="F140" s="61">
        <v>38719</v>
      </c>
      <c r="G140">
        <v>11</v>
      </c>
      <c r="H140" t="s">
        <v>145</v>
      </c>
      <c r="I140" s="62">
        <v>46993</v>
      </c>
      <c r="J140">
        <v>5</v>
      </c>
    </row>
    <row r="141" spans="1:10" hidden="1" x14ac:dyDescent="0.25">
      <c r="A141" t="s">
        <v>408</v>
      </c>
      <c r="B141" t="s">
        <v>409</v>
      </c>
      <c r="C141" t="str">
        <f>_xlfn.TEXTJOIN(",",TRUE, Employee[[#This Row],[Last Name]], Employee[[#This Row],[First Name]])</f>
        <v>Robertson, Nathan</v>
      </c>
      <c r="D141" t="s">
        <v>155</v>
      </c>
      <c r="E141" t="s">
        <v>403</v>
      </c>
      <c r="F141" s="61">
        <v>40216</v>
      </c>
      <c r="G141">
        <v>7</v>
      </c>
      <c r="H141" t="s">
        <v>152</v>
      </c>
      <c r="I141" s="62">
        <v>91950</v>
      </c>
      <c r="J141">
        <v>4</v>
      </c>
    </row>
    <row r="142" spans="1:10" x14ac:dyDescent="0.25">
      <c r="A142" t="s">
        <v>410</v>
      </c>
      <c r="B142" t="s">
        <v>212</v>
      </c>
      <c r="C142" t="str">
        <f>_xlfn.TEXTJOIN(",",TRUE, Employee[[#This Row],[Last Name]], Employee[[#This Row],[First Name]])</f>
        <v>Young, Benjamin</v>
      </c>
      <c r="D142" t="s">
        <v>161</v>
      </c>
      <c r="E142" t="s">
        <v>403</v>
      </c>
      <c r="F142" s="61">
        <v>38366</v>
      </c>
      <c r="G142">
        <v>12</v>
      </c>
      <c r="H142" t="s">
        <v>139</v>
      </c>
      <c r="I142" s="62">
        <v>96410</v>
      </c>
      <c r="J142">
        <v>3</v>
      </c>
    </row>
    <row r="143" spans="1:10" hidden="1" x14ac:dyDescent="0.25">
      <c r="A143" t="s">
        <v>411</v>
      </c>
      <c r="B143" t="s">
        <v>412</v>
      </c>
      <c r="C143" t="str">
        <f>_xlfn.TEXTJOIN(",",TRUE, Employee[[#This Row],[Last Name]], Employee[[#This Row],[First Name]])</f>
        <v>Nunez, Benning</v>
      </c>
      <c r="D143" t="s">
        <v>155</v>
      </c>
      <c r="E143" t="s">
        <v>403</v>
      </c>
      <c r="F143" s="61">
        <v>39831</v>
      </c>
      <c r="G143">
        <v>8</v>
      </c>
      <c r="H143" t="s">
        <v>139</v>
      </c>
      <c r="I143" s="62">
        <v>103347</v>
      </c>
      <c r="J143">
        <v>4</v>
      </c>
    </row>
    <row r="144" spans="1:10" hidden="1" x14ac:dyDescent="0.25">
      <c r="A144" t="s">
        <v>413</v>
      </c>
      <c r="B144" t="s">
        <v>291</v>
      </c>
      <c r="C144" t="str">
        <f>_xlfn.TEXTJOIN(",",TRUE, Employee[[#This Row],[Last Name]], Employee[[#This Row],[First Name]])</f>
        <v>Shields, Robert</v>
      </c>
      <c r="D144" t="s">
        <v>161</v>
      </c>
      <c r="E144" t="s">
        <v>403</v>
      </c>
      <c r="F144" s="61">
        <v>41314</v>
      </c>
      <c r="G144">
        <v>4</v>
      </c>
      <c r="H144" t="s">
        <v>145</v>
      </c>
      <c r="I144" s="62">
        <v>118046</v>
      </c>
      <c r="J144">
        <v>4</v>
      </c>
    </row>
    <row r="145" spans="1:10" hidden="1" x14ac:dyDescent="0.25">
      <c r="A145" t="s">
        <v>414</v>
      </c>
      <c r="B145" t="s">
        <v>415</v>
      </c>
      <c r="C145" t="str">
        <f>_xlfn.TEXTJOIN(",",TRUE, Employee[[#This Row],[Last Name]], Employee[[#This Row],[First Name]])</f>
        <v>Hardy, Svetlana</v>
      </c>
      <c r="D145" t="s">
        <v>137</v>
      </c>
      <c r="E145" t="s">
        <v>403</v>
      </c>
      <c r="F145" s="61">
        <v>40222</v>
      </c>
      <c r="G145">
        <v>7</v>
      </c>
      <c r="H145" t="s">
        <v>145</v>
      </c>
      <c r="I145" s="62">
        <v>50029</v>
      </c>
      <c r="J145">
        <v>5</v>
      </c>
    </row>
    <row r="146" spans="1:10" hidden="1" x14ac:dyDescent="0.25">
      <c r="A146" t="s">
        <v>416</v>
      </c>
      <c r="B146" t="s">
        <v>417</v>
      </c>
      <c r="C146" t="str">
        <f>_xlfn.TEXTJOIN(",",TRUE, Employee[[#This Row],[Last Name]], Employee[[#This Row],[First Name]])</f>
        <v>Woodward, Tim</v>
      </c>
      <c r="D146" t="s">
        <v>161</v>
      </c>
      <c r="E146" t="s">
        <v>403</v>
      </c>
      <c r="F146" s="61">
        <v>40232</v>
      </c>
      <c r="G146">
        <v>7</v>
      </c>
      <c r="H146" t="s">
        <v>145</v>
      </c>
      <c r="I146" s="62">
        <v>63297</v>
      </c>
      <c r="J146">
        <v>4</v>
      </c>
    </row>
    <row r="147" spans="1:10" hidden="1" x14ac:dyDescent="0.25">
      <c r="A147" t="s">
        <v>418</v>
      </c>
      <c r="B147" t="s">
        <v>419</v>
      </c>
      <c r="C147" t="str">
        <f>_xlfn.TEXTJOIN(",",TRUE, Employee[[#This Row],[Last Name]], Employee[[#This Row],[First Name]])</f>
        <v>Shaffer, Nobuko</v>
      </c>
      <c r="D147" t="s">
        <v>155</v>
      </c>
      <c r="E147" t="s">
        <v>403</v>
      </c>
      <c r="F147" s="61">
        <v>39866</v>
      </c>
      <c r="G147">
        <v>8</v>
      </c>
      <c r="H147" t="s">
        <v>185</v>
      </c>
      <c r="I147" s="62">
        <v>93380</v>
      </c>
      <c r="J147">
        <v>5</v>
      </c>
    </row>
    <row r="148" spans="1:10" hidden="1" x14ac:dyDescent="0.25">
      <c r="A148" t="s">
        <v>420</v>
      </c>
      <c r="B148" t="s">
        <v>421</v>
      </c>
      <c r="C148" t="str">
        <f>_xlfn.TEXTJOIN(",",TRUE, Employee[[#This Row],[Last Name]], Employee[[#This Row],[First Name]])</f>
        <v>Hale, Deon</v>
      </c>
      <c r="D148" t="s">
        <v>161</v>
      </c>
      <c r="E148" t="s">
        <v>403</v>
      </c>
      <c r="F148" s="61">
        <v>40971</v>
      </c>
      <c r="G148">
        <v>5</v>
      </c>
      <c r="H148" t="s">
        <v>145</v>
      </c>
      <c r="I148" s="62">
        <v>100478</v>
      </c>
      <c r="J148">
        <v>3</v>
      </c>
    </row>
    <row r="149" spans="1:10" hidden="1" x14ac:dyDescent="0.25">
      <c r="A149" t="s">
        <v>422</v>
      </c>
      <c r="B149" t="s">
        <v>423</v>
      </c>
      <c r="C149" t="str">
        <f>_xlfn.TEXTJOIN(",",TRUE, Employee[[#This Row],[Last Name]], Employee[[#This Row],[First Name]])</f>
        <v>Gates, Anne</v>
      </c>
      <c r="D149" t="s">
        <v>151</v>
      </c>
      <c r="E149" t="s">
        <v>403</v>
      </c>
      <c r="F149" s="61">
        <v>41337</v>
      </c>
      <c r="G149">
        <v>4</v>
      </c>
      <c r="H149" t="s">
        <v>145</v>
      </c>
      <c r="I149" s="62">
        <v>96780</v>
      </c>
      <c r="J149">
        <v>3</v>
      </c>
    </row>
    <row r="150" spans="1:10" hidden="1" x14ac:dyDescent="0.25">
      <c r="A150" t="s">
        <v>424</v>
      </c>
      <c r="B150" t="s">
        <v>425</v>
      </c>
      <c r="C150" t="str">
        <f>_xlfn.TEXTJOIN(",",TRUE, Employee[[#This Row],[Last Name]], Employee[[#This Row],[First Name]])</f>
        <v>Lara, Mark</v>
      </c>
      <c r="D150" t="s">
        <v>137</v>
      </c>
      <c r="E150" t="s">
        <v>403</v>
      </c>
      <c r="F150" s="61">
        <v>42092</v>
      </c>
      <c r="G150">
        <v>2</v>
      </c>
      <c r="H150" t="s">
        <v>139</v>
      </c>
      <c r="I150" s="62">
        <v>51487</v>
      </c>
      <c r="J150">
        <v>4</v>
      </c>
    </row>
    <row r="151" spans="1:10" hidden="1" x14ac:dyDescent="0.25">
      <c r="A151" t="s">
        <v>426</v>
      </c>
      <c r="B151" t="s">
        <v>427</v>
      </c>
      <c r="C151" t="str">
        <f>_xlfn.TEXTJOIN(",",TRUE, Employee[[#This Row],[Last Name]], Employee[[#This Row],[First Name]])</f>
        <v>Vazquez, Kenneth</v>
      </c>
      <c r="D151" t="s">
        <v>155</v>
      </c>
      <c r="E151" t="s">
        <v>403</v>
      </c>
      <c r="F151" s="61">
        <v>40277</v>
      </c>
      <c r="G151">
        <v>7</v>
      </c>
      <c r="H151" t="s">
        <v>139</v>
      </c>
      <c r="I151" s="62">
        <v>44692</v>
      </c>
      <c r="J151">
        <v>1</v>
      </c>
    </row>
    <row r="152" spans="1:10" x14ac:dyDescent="0.25">
      <c r="A152" t="s">
        <v>428</v>
      </c>
      <c r="B152" t="s">
        <v>429</v>
      </c>
      <c r="C152" t="str">
        <f>_xlfn.TEXTJOIN(",",TRUE, Employee[[#This Row],[Last Name]], Employee[[#This Row],[First Name]])</f>
        <v>Montgomery, Chris</v>
      </c>
      <c r="D152" t="s">
        <v>178</v>
      </c>
      <c r="E152" t="s">
        <v>403</v>
      </c>
      <c r="F152" s="61">
        <v>37341</v>
      </c>
      <c r="G152">
        <v>15</v>
      </c>
      <c r="H152" t="s">
        <v>145</v>
      </c>
      <c r="I152" s="62">
        <v>114029</v>
      </c>
      <c r="J152">
        <v>4</v>
      </c>
    </row>
    <row r="153" spans="1:10" x14ac:dyDescent="0.25">
      <c r="A153" t="s">
        <v>430</v>
      </c>
      <c r="B153" t="s">
        <v>196</v>
      </c>
      <c r="C153" t="str">
        <f>_xlfn.TEXTJOIN(",",TRUE, Employee[[#This Row],[Last Name]], Employee[[#This Row],[First Name]])</f>
        <v>Lee, Charles</v>
      </c>
      <c r="D153" t="s">
        <v>137</v>
      </c>
      <c r="E153" t="s">
        <v>403</v>
      </c>
      <c r="F153" s="61">
        <v>37721</v>
      </c>
      <c r="G153">
        <v>14</v>
      </c>
      <c r="H153" t="s">
        <v>185</v>
      </c>
      <c r="I153" s="62">
        <v>101481</v>
      </c>
      <c r="J153">
        <v>2</v>
      </c>
    </row>
    <row r="154" spans="1:10" hidden="1" x14ac:dyDescent="0.25">
      <c r="A154" t="s">
        <v>431</v>
      </c>
      <c r="B154" t="s">
        <v>432</v>
      </c>
      <c r="C154" t="str">
        <f>_xlfn.TEXTJOIN(",",TRUE, Employee[[#This Row],[Last Name]], Employee[[#This Row],[First Name]])</f>
        <v>Curtis, Patrick</v>
      </c>
      <c r="D154" t="s">
        <v>155</v>
      </c>
      <c r="E154" t="s">
        <v>403</v>
      </c>
      <c r="F154" s="61">
        <v>41377</v>
      </c>
      <c r="G154">
        <v>4</v>
      </c>
      <c r="H154" t="s">
        <v>168</v>
      </c>
      <c r="I154" s="62">
        <v>113877</v>
      </c>
      <c r="J154">
        <v>2</v>
      </c>
    </row>
    <row r="155" spans="1:10" x14ac:dyDescent="0.25">
      <c r="A155" t="s">
        <v>433</v>
      </c>
      <c r="B155" t="s">
        <v>434</v>
      </c>
      <c r="C155" t="str">
        <f>_xlfn.TEXTJOIN(",",TRUE, Employee[[#This Row],[Last Name]], Employee[[#This Row],[First Name]])</f>
        <v>Gallegos, Rick</v>
      </c>
      <c r="D155" t="s">
        <v>161</v>
      </c>
      <c r="E155" t="s">
        <v>403</v>
      </c>
      <c r="F155" s="61">
        <v>37017</v>
      </c>
      <c r="G155">
        <v>16</v>
      </c>
      <c r="H155" t="s">
        <v>145</v>
      </c>
      <c r="I155" s="62">
        <v>75226</v>
      </c>
      <c r="J155">
        <v>5</v>
      </c>
    </row>
    <row r="156" spans="1:10" x14ac:dyDescent="0.25">
      <c r="A156" t="s">
        <v>435</v>
      </c>
      <c r="B156" t="s">
        <v>384</v>
      </c>
      <c r="C156" t="str">
        <f>_xlfn.TEXTJOIN(",",TRUE, Employee[[#This Row],[Last Name]], Employee[[#This Row],[First Name]])</f>
        <v>Morse, Michael</v>
      </c>
      <c r="D156" t="s">
        <v>155</v>
      </c>
      <c r="E156" t="s">
        <v>403</v>
      </c>
      <c r="F156" s="61">
        <v>39213</v>
      </c>
      <c r="G156">
        <v>10</v>
      </c>
      <c r="H156" t="s">
        <v>152</v>
      </c>
      <c r="I156" s="62">
        <v>62791</v>
      </c>
      <c r="J156">
        <v>1</v>
      </c>
    </row>
    <row r="157" spans="1:10" hidden="1" x14ac:dyDescent="0.25">
      <c r="A157" t="s">
        <v>436</v>
      </c>
      <c r="B157" t="s">
        <v>437</v>
      </c>
      <c r="C157" t="str">
        <f>_xlfn.TEXTJOIN(",",TRUE, Employee[[#This Row],[Last Name]], Employee[[#This Row],[First Name]])</f>
        <v>Gross, Davin</v>
      </c>
      <c r="D157" t="s">
        <v>161</v>
      </c>
      <c r="E157" t="s">
        <v>403</v>
      </c>
      <c r="F157" s="61">
        <v>41788</v>
      </c>
      <c r="G157">
        <v>3</v>
      </c>
      <c r="H157" t="s">
        <v>185</v>
      </c>
      <c r="I157" s="62">
        <v>86093</v>
      </c>
      <c r="J157">
        <v>2</v>
      </c>
    </row>
    <row r="158" spans="1:10" hidden="1" x14ac:dyDescent="0.25">
      <c r="A158" t="s">
        <v>438</v>
      </c>
      <c r="B158" t="s">
        <v>439</v>
      </c>
      <c r="C158" t="str">
        <f>_xlfn.TEXTJOIN(",",TRUE, Employee[[#This Row],[Last Name]], Employee[[#This Row],[First Name]])</f>
        <v>Newton, Leigh</v>
      </c>
      <c r="D158" t="s">
        <v>161</v>
      </c>
      <c r="E158" t="s">
        <v>403</v>
      </c>
      <c r="F158" s="61">
        <v>39970</v>
      </c>
      <c r="G158">
        <v>8</v>
      </c>
      <c r="H158" t="s">
        <v>185</v>
      </c>
      <c r="I158" s="62">
        <v>49871</v>
      </c>
      <c r="J158">
        <v>1</v>
      </c>
    </row>
    <row r="159" spans="1:10" hidden="1" x14ac:dyDescent="0.25">
      <c r="A159" t="s">
        <v>440</v>
      </c>
      <c r="B159" t="s">
        <v>384</v>
      </c>
      <c r="C159" t="str">
        <f>_xlfn.TEXTJOIN(",",TRUE, Employee[[#This Row],[Last Name]], Employee[[#This Row],[First Name]])</f>
        <v>Noble, Michael</v>
      </c>
      <c r="D159" t="s">
        <v>178</v>
      </c>
      <c r="E159" t="s">
        <v>403</v>
      </c>
      <c r="F159" s="61">
        <v>40732</v>
      </c>
      <c r="G159">
        <v>6</v>
      </c>
      <c r="H159" t="s">
        <v>168</v>
      </c>
      <c r="I159" s="62">
        <v>80928</v>
      </c>
      <c r="J159">
        <v>4</v>
      </c>
    </row>
    <row r="160" spans="1:10" hidden="1" x14ac:dyDescent="0.25">
      <c r="A160" t="s">
        <v>441</v>
      </c>
      <c r="B160" t="s">
        <v>425</v>
      </c>
      <c r="C160" t="str">
        <f>_xlfn.TEXTJOIN(",",TRUE, Employee[[#This Row],[Last Name]], Employee[[#This Row],[First Name]])</f>
        <v>Jordan, Mark</v>
      </c>
      <c r="D160" t="s">
        <v>155</v>
      </c>
      <c r="E160" t="s">
        <v>403</v>
      </c>
      <c r="F160" s="61">
        <v>41807</v>
      </c>
      <c r="G160">
        <v>3</v>
      </c>
      <c r="H160" t="s">
        <v>145</v>
      </c>
      <c r="I160" s="62">
        <v>90371</v>
      </c>
      <c r="J160">
        <v>2</v>
      </c>
    </row>
    <row r="161" spans="1:10" hidden="1" x14ac:dyDescent="0.25">
      <c r="A161" t="s">
        <v>442</v>
      </c>
      <c r="B161" t="s">
        <v>443</v>
      </c>
      <c r="C161" t="str">
        <f>_xlfn.TEXTJOIN(",",TRUE, Employee[[#This Row],[Last Name]], Employee[[#This Row],[First Name]])</f>
        <v>Rich, Brent</v>
      </c>
      <c r="D161" t="s">
        <v>137</v>
      </c>
      <c r="E161" t="s">
        <v>403</v>
      </c>
      <c r="F161" s="61">
        <v>40352</v>
      </c>
      <c r="G161">
        <v>7</v>
      </c>
      <c r="H161" t="s">
        <v>145</v>
      </c>
      <c r="I161" s="62">
        <v>59013</v>
      </c>
      <c r="J161">
        <v>2</v>
      </c>
    </row>
    <row r="162" spans="1:10" hidden="1" x14ac:dyDescent="0.25">
      <c r="A162" t="s">
        <v>444</v>
      </c>
      <c r="B162" t="s">
        <v>445</v>
      </c>
      <c r="C162" t="str">
        <f>_xlfn.TEXTJOIN(",",TRUE, Employee[[#This Row],[Last Name]], Employee[[#This Row],[First Name]])</f>
        <v>Evans, Rolin</v>
      </c>
      <c r="D162" t="s">
        <v>155</v>
      </c>
      <c r="E162" t="s">
        <v>403</v>
      </c>
      <c r="F162" s="61">
        <v>41444</v>
      </c>
      <c r="G162">
        <v>4</v>
      </c>
      <c r="H162" t="s">
        <v>139</v>
      </c>
      <c r="I162" s="62">
        <v>76509</v>
      </c>
      <c r="J162">
        <v>5</v>
      </c>
    </row>
    <row r="163" spans="1:10" x14ac:dyDescent="0.25">
      <c r="A163" t="s">
        <v>446</v>
      </c>
      <c r="B163" t="s">
        <v>447</v>
      </c>
      <c r="C163" t="str">
        <f>_xlfn.TEXTJOIN(",",TRUE, Employee[[#This Row],[Last Name]], Employee[[#This Row],[First Name]])</f>
        <v>Santos, Garret</v>
      </c>
      <c r="D163" t="s">
        <v>148</v>
      </c>
      <c r="E163" t="s">
        <v>403</v>
      </c>
      <c r="F163" s="61">
        <v>37067</v>
      </c>
      <c r="G163">
        <v>16</v>
      </c>
      <c r="H163" t="s">
        <v>142</v>
      </c>
      <c r="I163" s="62">
        <v>116386</v>
      </c>
      <c r="J163">
        <v>5</v>
      </c>
    </row>
    <row r="164" spans="1:10" hidden="1" x14ac:dyDescent="0.25">
      <c r="A164" t="s">
        <v>448</v>
      </c>
      <c r="B164" t="s">
        <v>449</v>
      </c>
      <c r="C164" t="str">
        <f>_xlfn.TEXTJOIN(",",TRUE, Employee[[#This Row],[Last Name]], Employee[[#This Row],[First Name]])</f>
        <v>Wise, Ted</v>
      </c>
      <c r="D164" t="s">
        <v>155</v>
      </c>
      <c r="E164" t="s">
        <v>403</v>
      </c>
      <c r="F164" s="61">
        <v>40373</v>
      </c>
      <c r="G164">
        <v>7</v>
      </c>
      <c r="H164" t="s">
        <v>145</v>
      </c>
      <c r="I164" s="62">
        <v>69384</v>
      </c>
      <c r="J164">
        <v>5</v>
      </c>
    </row>
    <row r="165" spans="1:10" hidden="1" x14ac:dyDescent="0.25">
      <c r="A165" t="s">
        <v>450</v>
      </c>
      <c r="B165" t="s">
        <v>451</v>
      </c>
      <c r="C165" t="str">
        <f>_xlfn.TEXTJOIN(",",TRUE, Employee[[#This Row],[Last Name]], Employee[[#This Row],[First Name]])</f>
        <v>Townsend, Jerry</v>
      </c>
      <c r="D165" t="s">
        <v>148</v>
      </c>
      <c r="E165" t="s">
        <v>403</v>
      </c>
      <c r="F165" s="61">
        <v>41132</v>
      </c>
      <c r="G165">
        <v>5</v>
      </c>
      <c r="H165" t="s">
        <v>145</v>
      </c>
      <c r="I165" s="62">
        <v>123331</v>
      </c>
      <c r="J165">
        <v>4</v>
      </c>
    </row>
    <row r="166" spans="1:10" hidden="1" x14ac:dyDescent="0.25">
      <c r="A166" t="s">
        <v>452</v>
      </c>
      <c r="B166" t="s">
        <v>453</v>
      </c>
      <c r="C166" t="str">
        <f>_xlfn.TEXTJOIN(",",TRUE, Employee[[#This Row],[Last Name]], Employee[[#This Row],[First Name]])</f>
        <v>Estrada, Joan</v>
      </c>
      <c r="D166" t="s">
        <v>161</v>
      </c>
      <c r="E166" t="s">
        <v>403</v>
      </c>
      <c r="F166" s="61">
        <v>41477</v>
      </c>
      <c r="G166">
        <v>4</v>
      </c>
      <c r="H166" t="s">
        <v>152</v>
      </c>
      <c r="I166" s="62">
        <v>55705</v>
      </c>
      <c r="J166">
        <v>4</v>
      </c>
    </row>
    <row r="167" spans="1:10" hidden="1" x14ac:dyDescent="0.25">
      <c r="A167" t="s">
        <v>454</v>
      </c>
      <c r="B167" t="s">
        <v>455</v>
      </c>
      <c r="C167" t="str">
        <f>_xlfn.TEXTJOIN(",",TRUE, Employee[[#This Row],[Last Name]], Employee[[#This Row],[First Name]])</f>
        <v>Oliver, Francisco</v>
      </c>
      <c r="D167" t="s">
        <v>161</v>
      </c>
      <c r="E167" t="s">
        <v>403</v>
      </c>
      <c r="F167" s="61">
        <v>40770</v>
      </c>
      <c r="G167">
        <v>6</v>
      </c>
      <c r="H167" t="s">
        <v>152</v>
      </c>
      <c r="I167" s="62">
        <v>72893</v>
      </c>
      <c r="J167">
        <v>5</v>
      </c>
    </row>
    <row r="168" spans="1:10" hidden="1" x14ac:dyDescent="0.25">
      <c r="A168" t="s">
        <v>456</v>
      </c>
      <c r="B168" t="s">
        <v>206</v>
      </c>
      <c r="C168" t="str">
        <f>_xlfn.TEXTJOIN(",",TRUE, Employee[[#This Row],[Last Name]], Employee[[#This Row],[First Name]])</f>
        <v>Clarke, Dennis</v>
      </c>
      <c r="D168" t="s">
        <v>178</v>
      </c>
      <c r="E168" t="s">
        <v>403</v>
      </c>
      <c r="F168" s="61">
        <v>42255</v>
      </c>
      <c r="G168">
        <v>2</v>
      </c>
      <c r="H168" t="s">
        <v>139</v>
      </c>
      <c r="I168" s="62">
        <v>63123</v>
      </c>
      <c r="J168">
        <v>3</v>
      </c>
    </row>
    <row r="169" spans="1:10" hidden="1" x14ac:dyDescent="0.25">
      <c r="A169" t="s">
        <v>457</v>
      </c>
      <c r="B169" t="s">
        <v>458</v>
      </c>
      <c r="C169" t="str">
        <f>_xlfn.TEXTJOIN(",",TRUE, Employee[[#This Row],[Last Name]], Employee[[#This Row],[First Name]])</f>
        <v>Wagner, Lynne</v>
      </c>
      <c r="D169" t="s">
        <v>161</v>
      </c>
      <c r="E169" t="s">
        <v>403</v>
      </c>
      <c r="F169" s="61">
        <v>40404</v>
      </c>
      <c r="G169">
        <v>7</v>
      </c>
      <c r="H169" t="s">
        <v>139</v>
      </c>
      <c r="I169" s="62">
        <v>64193</v>
      </c>
      <c r="J169">
        <v>3</v>
      </c>
    </row>
    <row r="170" spans="1:10" x14ac:dyDescent="0.25">
      <c r="A170" t="s">
        <v>459</v>
      </c>
      <c r="B170" t="s">
        <v>460</v>
      </c>
      <c r="C170" t="str">
        <f>_xlfn.TEXTJOIN(",",TRUE, Employee[[#This Row],[Last Name]], Employee[[#This Row],[First Name]])</f>
        <v>Mathis, Shari</v>
      </c>
      <c r="D170" t="s">
        <v>178</v>
      </c>
      <c r="E170" t="s">
        <v>403</v>
      </c>
      <c r="F170" s="61">
        <v>37492</v>
      </c>
      <c r="G170">
        <v>15</v>
      </c>
      <c r="H170" t="s">
        <v>168</v>
      </c>
      <c r="I170" s="62">
        <v>111238</v>
      </c>
      <c r="J170">
        <v>5</v>
      </c>
    </row>
    <row r="171" spans="1:10" x14ac:dyDescent="0.25">
      <c r="A171" t="s">
        <v>461</v>
      </c>
      <c r="B171" t="s">
        <v>462</v>
      </c>
      <c r="C171" t="str">
        <f>_xlfn.TEXTJOIN(",",TRUE, Employee[[#This Row],[Last Name]], Employee[[#This Row],[First Name]])</f>
        <v>Chen, Jaime</v>
      </c>
      <c r="D171" t="s">
        <v>148</v>
      </c>
      <c r="E171" t="s">
        <v>403</v>
      </c>
      <c r="F171" s="61">
        <v>37160</v>
      </c>
      <c r="G171">
        <v>16</v>
      </c>
      <c r="H171" t="s">
        <v>185</v>
      </c>
      <c r="I171" s="62">
        <v>62446</v>
      </c>
      <c r="J171">
        <v>2</v>
      </c>
    </row>
    <row r="172" spans="1:10" hidden="1" x14ac:dyDescent="0.25">
      <c r="A172" t="s">
        <v>463</v>
      </c>
      <c r="B172" t="s">
        <v>234</v>
      </c>
      <c r="C172" t="str">
        <f>_xlfn.TEXTJOIN(",",TRUE, Employee[[#This Row],[Last Name]], Employee[[#This Row],[First Name]])</f>
        <v>Reese, Marc</v>
      </c>
      <c r="D172" t="s">
        <v>155</v>
      </c>
      <c r="E172" t="s">
        <v>403</v>
      </c>
      <c r="F172" s="61">
        <v>41548</v>
      </c>
      <c r="G172">
        <v>4</v>
      </c>
      <c r="H172" t="s">
        <v>185</v>
      </c>
      <c r="I172" s="62">
        <v>71086</v>
      </c>
      <c r="J172">
        <v>3</v>
      </c>
    </row>
    <row r="173" spans="1:10" hidden="1" x14ac:dyDescent="0.25">
      <c r="A173" t="s">
        <v>464</v>
      </c>
      <c r="B173" t="s">
        <v>193</v>
      </c>
      <c r="C173" t="str">
        <f>_xlfn.TEXTJOIN(",",TRUE, Employee[[#This Row],[Last Name]], Employee[[#This Row],[First Name]])</f>
        <v>Lowe, Michelle</v>
      </c>
      <c r="D173" t="s">
        <v>148</v>
      </c>
      <c r="E173" t="s">
        <v>403</v>
      </c>
      <c r="F173" s="61">
        <v>42306</v>
      </c>
      <c r="G173">
        <v>1</v>
      </c>
      <c r="H173" t="s">
        <v>185</v>
      </c>
      <c r="I173" s="62">
        <v>69039</v>
      </c>
      <c r="J173">
        <v>5</v>
      </c>
    </row>
    <row r="174" spans="1:10" hidden="1" x14ac:dyDescent="0.25">
      <c r="A174" t="s">
        <v>465</v>
      </c>
      <c r="B174" t="s">
        <v>466</v>
      </c>
      <c r="C174" t="str">
        <f>_xlfn.TEXTJOIN(",",TRUE, Employee[[#This Row],[Last Name]], Employee[[#This Row],[First Name]])</f>
        <v>Cummings, Jose</v>
      </c>
      <c r="D174" t="s">
        <v>161</v>
      </c>
      <c r="E174" t="s">
        <v>403</v>
      </c>
      <c r="F174" s="61">
        <v>40846</v>
      </c>
      <c r="G174">
        <v>5</v>
      </c>
      <c r="H174" t="s">
        <v>139</v>
      </c>
      <c r="I174" s="62">
        <v>79262</v>
      </c>
      <c r="J174">
        <v>5</v>
      </c>
    </row>
    <row r="175" spans="1:10" hidden="1" x14ac:dyDescent="0.25">
      <c r="A175" t="s">
        <v>467</v>
      </c>
      <c r="B175" t="s">
        <v>309</v>
      </c>
      <c r="C175" t="str">
        <f>_xlfn.TEXTJOIN(",",TRUE, Employee[[#This Row],[Last Name]], Employee[[#This Row],[First Name]])</f>
        <v>Padilla, Christopher</v>
      </c>
      <c r="D175" t="s">
        <v>161</v>
      </c>
      <c r="E175" t="s">
        <v>403</v>
      </c>
      <c r="F175" s="61">
        <v>42332</v>
      </c>
      <c r="G175">
        <v>1</v>
      </c>
      <c r="H175" t="s">
        <v>145</v>
      </c>
      <c r="I175" s="62">
        <v>55686</v>
      </c>
      <c r="J175">
        <v>5</v>
      </c>
    </row>
    <row r="176" spans="1:10" hidden="1" x14ac:dyDescent="0.25">
      <c r="A176" t="s">
        <v>468</v>
      </c>
      <c r="B176" t="s">
        <v>469</v>
      </c>
      <c r="C176" t="str">
        <f>_xlfn.TEXTJOIN(",",TRUE, Employee[[#This Row],[Last Name]], Employee[[#This Row],[First Name]])</f>
        <v>Tran, Chad</v>
      </c>
      <c r="D176" t="s">
        <v>161</v>
      </c>
      <c r="E176" t="s">
        <v>470</v>
      </c>
      <c r="F176" s="61">
        <v>40593</v>
      </c>
      <c r="G176">
        <v>6</v>
      </c>
      <c r="H176" t="s">
        <v>152</v>
      </c>
      <c r="I176" s="62">
        <v>48576</v>
      </c>
      <c r="J176">
        <v>4</v>
      </c>
    </row>
    <row r="177" spans="1:10" hidden="1" x14ac:dyDescent="0.25">
      <c r="A177" t="s">
        <v>471</v>
      </c>
      <c r="B177" t="s">
        <v>472</v>
      </c>
      <c r="C177" t="str">
        <f>_xlfn.TEXTJOIN(",",TRUE, Employee[[#This Row],[Last Name]], Employee[[#This Row],[First Name]])</f>
        <v>Boone, Eric</v>
      </c>
      <c r="D177" t="s">
        <v>148</v>
      </c>
      <c r="E177" t="s">
        <v>470</v>
      </c>
      <c r="F177" s="61">
        <v>41341</v>
      </c>
      <c r="G177">
        <v>4</v>
      </c>
      <c r="H177" t="s">
        <v>152</v>
      </c>
      <c r="I177" s="62">
        <v>56792</v>
      </c>
      <c r="J177">
        <v>4</v>
      </c>
    </row>
    <row r="178" spans="1:10" hidden="1" x14ac:dyDescent="0.25">
      <c r="A178" t="s">
        <v>473</v>
      </c>
      <c r="B178" t="s">
        <v>244</v>
      </c>
      <c r="C178" t="str">
        <f>_xlfn.TEXTJOIN(",",TRUE, Employee[[#This Row],[Last Name]], Employee[[#This Row],[First Name]])</f>
        <v>Romero, Randy</v>
      </c>
      <c r="D178" t="s">
        <v>161</v>
      </c>
      <c r="E178" t="s">
        <v>470</v>
      </c>
      <c r="F178" s="61">
        <v>41768</v>
      </c>
      <c r="G178">
        <v>3</v>
      </c>
      <c r="H178" t="s">
        <v>139</v>
      </c>
      <c r="I178" s="62">
        <v>103041</v>
      </c>
      <c r="J178">
        <v>1</v>
      </c>
    </row>
    <row r="179" spans="1:10" x14ac:dyDescent="0.25">
      <c r="A179" t="s">
        <v>474</v>
      </c>
      <c r="B179" t="s">
        <v>475</v>
      </c>
      <c r="C179" t="str">
        <f>_xlfn.TEXTJOIN(",",TRUE, Employee[[#This Row],[Last Name]], Employee[[#This Row],[First Name]])</f>
        <v>Randolph, Kristin</v>
      </c>
      <c r="D179" t="s">
        <v>178</v>
      </c>
      <c r="E179" t="s">
        <v>470</v>
      </c>
      <c r="F179" s="61">
        <v>37751</v>
      </c>
      <c r="G179">
        <v>14</v>
      </c>
      <c r="H179" t="s">
        <v>185</v>
      </c>
      <c r="I179" s="62">
        <v>114941</v>
      </c>
      <c r="J179">
        <v>4</v>
      </c>
    </row>
    <row r="180" spans="1:10" x14ac:dyDescent="0.25">
      <c r="A180" t="s">
        <v>476</v>
      </c>
      <c r="B180" t="s">
        <v>477</v>
      </c>
      <c r="C180" t="str">
        <f>_xlfn.TEXTJOIN(",",TRUE, Employee[[#This Row],[Last Name]], Employee[[#This Row],[First Name]])</f>
        <v>Miranda, Elena</v>
      </c>
      <c r="D180" t="s">
        <v>178</v>
      </c>
      <c r="E180" t="s">
        <v>470</v>
      </c>
      <c r="F180" s="61">
        <v>38121</v>
      </c>
      <c r="G180">
        <v>13</v>
      </c>
      <c r="H180" t="s">
        <v>142</v>
      </c>
      <c r="I180" s="62">
        <v>47250</v>
      </c>
      <c r="J180">
        <v>1</v>
      </c>
    </row>
    <row r="181" spans="1:10" x14ac:dyDescent="0.25">
      <c r="A181" t="s">
        <v>478</v>
      </c>
      <c r="B181" t="s">
        <v>368</v>
      </c>
      <c r="C181" t="str">
        <f>_xlfn.TEXTJOIN(",",TRUE, Employee[[#This Row],[Last Name]], Employee[[#This Row],[First Name]])</f>
        <v>Gilmore, Terry</v>
      </c>
      <c r="D181" t="s">
        <v>155</v>
      </c>
      <c r="E181" t="s">
        <v>470</v>
      </c>
      <c r="F181" s="61">
        <v>38583</v>
      </c>
      <c r="G181">
        <v>12</v>
      </c>
      <c r="H181" t="s">
        <v>168</v>
      </c>
      <c r="I181" s="62">
        <v>88967</v>
      </c>
      <c r="J181">
        <v>1</v>
      </c>
    </row>
    <row r="182" spans="1:10" x14ac:dyDescent="0.25">
      <c r="A182" t="s">
        <v>479</v>
      </c>
      <c r="B182" t="s">
        <v>427</v>
      </c>
      <c r="C182" t="str">
        <f>_xlfn.TEXTJOIN(",",TRUE, Employee[[#This Row],[Last Name]], Employee[[#This Row],[First Name]])</f>
        <v>Douglas, Kenneth</v>
      </c>
      <c r="D182" t="s">
        <v>155</v>
      </c>
      <c r="E182" t="s">
        <v>470</v>
      </c>
      <c r="F182" s="61">
        <v>39024</v>
      </c>
      <c r="G182">
        <v>10</v>
      </c>
      <c r="H182" t="s">
        <v>139</v>
      </c>
      <c r="I182" s="62">
        <v>56812</v>
      </c>
      <c r="J182">
        <v>5</v>
      </c>
    </row>
    <row r="183" spans="1:10" x14ac:dyDescent="0.25">
      <c r="A183" t="s">
        <v>480</v>
      </c>
      <c r="B183" t="s">
        <v>481</v>
      </c>
      <c r="C183" t="str">
        <f>_xlfn.TEXTJOIN(",",TRUE, Employee[[#This Row],[Last Name]], Employee[[#This Row],[First Name]])</f>
        <v>Campos, Richard</v>
      </c>
      <c r="D183" t="s">
        <v>161</v>
      </c>
      <c r="E183" t="s">
        <v>470</v>
      </c>
      <c r="F183" s="61">
        <v>37597</v>
      </c>
      <c r="G183">
        <v>14</v>
      </c>
      <c r="H183" t="s">
        <v>185</v>
      </c>
      <c r="I183" s="62">
        <v>79741</v>
      </c>
      <c r="J183">
        <v>5</v>
      </c>
    </row>
    <row r="184" spans="1:10" hidden="1" x14ac:dyDescent="0.25">
      <c r="A184" t="s">
        <v>482</v>
      </c>
      <c r="B184" t="s">
        <v>483</v>
      </c>
      <c r="C184" t="str">
        <f>_xlfn.TEXTJOIN(",",TRUE, Employee[[#This Row],[Last Name]], Employee[[#This Row],[First Name]])</f>
        <v>Rios, Fredrick</v>
      </c>
      <c r="D184" t="s">
        <v>155</v>
      </c>
      <c r="E184" t="s">
        <v>484</v>
      </c>
      <c r="F184" s="61">
        <v>41996</v>
      </c>
      <c r="G184">
        <v>2</v>
      </c>
      <c r="H184" t="s">
        <v>485</v>
      </c>
      <c r="I184" s="62">
        <v>42649</v>
      </c>
      <c r="J184">
        <v>5</v>
      </c>
    </row>
    <row r="185" spans="1:10" hidden="1" x14ac:dyDescent="0.25">
      <c r="A185" t="s">
        <v>486</v>
      </c>
      <c r="B185" t="s">
        <v>309</v>
      </c>
      <c r="C185" t="str">
        <f>_xlfn.TEXTJOIN(",",TRUE, Employee[[#This Row],[Last Name]], Employee[[#This Row],[First Name]])</f>
        <v>Castro, Christopher</v>
      </c>
      <c r="D185" t="s">
        <v>161</v>
      </c>
      <c r="E185" t="s">
        <v>484</v>
      </c>
      <c r="F185" s="61">
        <v>42014</v>
      </c>
      <c r="G185">
        <v>2</v>
      </c>
      <c r="H185" t="s">
        <v>139</v>
      </c>
      <c r="I185" s="62">
        <v>96721</v>
      </c>
      <c r="J185">
        <v>4</v>
      </c>
    </row>
    <row r="186" spans="1:10" hidden="1" x14ac:dyDescent="0.25">
      <c r="A186" t="s">
        <v>487</v>
      </c>
      <c r="B186" t="s">
        <v>488</v>
      </c>
      <c r="C186" t="str">
        <f>_xlfn.TEXTJOIN(",",TRUE, Employee[[#This Row],[Last Name]], Employee[[#This Row],[First Name]])</f>
        <v>Pierce, Karen</v>
      </c>
      <c r="D186" t="s">
        <v>161</v>
      </c>
      <c r="E186" t="s">
        <v>484</v>
      </c>
      <c r="F186" s="61">
        <v>40170</v>
      </c>
      <c r="G186">
        <v>7</v>
      </c>
      <c r="H186" t="s">
        <v>145</v>
      </c>
      <c r="I186" s="62">
        <v>92402</v>
      </c>
      <c r="J186">
        <v>3</v>
      </c>
    </row>
    <row r="187" spans="1:10" hidden="1" x14ac:dyDescent="0.25">
      <c r="A187" t="s">
        <v>489</v>
      </c>
      <c r="B187" t="s">
        <v>490</v>
      </c>
      <c r="C187" t="str">
        <f>_xlfn.TEXTJOIN(",",TRUE, Employee[[#This Row],[Last Name]], Employee[[#This Row],[First Name]])</f>
        <v>Small, Athanasios</v>
      </c>
      <c r="D187" t="s">
        <v>161</v>
      </c>
      <c r="E187" t="s">
        <v>484</v>
      </c>
      <c r="F187" s="61">
        <v>40184</v>
      </c>
      <c r="G187">
        <v>7</v>
      </c>
      <c r="H187" t="s">
        <v>185</v>
      </c>
      <c r="I187" s="62">
        <v>110812</v>
      </c>
      <c r="J187">
        <v>3</v>
      </c>
    </row>
    <row r="188" spans="1:10" hidden="1" x14ac:dyDescent="0.25">
      <c r="A188" t="s">
        <v>491</v>
      </c>
      <c r="B188" t="s">
        <v>488</v>
      </c>
      <c r="C188" t="str">
        <f>_xlfn.TEXTJOIN(",",TRUE, Employee[[#This Row],[Last Name]], Employee[[#This Row],[First Name]])</f>
        <v>Logan, Karen</v>
      </c>
      <c r="D188" t="s">
        <v>161</v>
      </c>
      <c r="E188" t="s">
        <v>484</v>
      </c>
      <c r="F188" s="61">
        <v>39816</v>
      </c>
      <c r="G188">
        <v>8</v>
      </c>
      <c r="H188" t="s">
        <v>145</v>
      </c>
      <c r="I188" s="62">
        <v>89875</v>
      </c>
      <c r="J188">
        <v>5</v>
      </c>
    </row>
    <row r="189" spans="1:10" x14ac:dyDescent="0.25">
      <c r="A189" t="s">
        <v>492</v>
      </c>
      <c r="B189" t="s">
        <v>493</v>
      </c>
      <c r="C189" t="str">
        <f>_xlfn.TEXTJOIN(",",TRUE, Employee[[#This Row],[Last Name]], Employee[[#This Row],[First Name]])</f>
        <v>Tate, Zachary</v>
      </c>
      <c r="D189" t="s">
        <v>148</v>
      </c>
      <c r="E189" t="s">
        <v>484</v>
      </c>
      <c r="F189" s="61">
        <v>36879</v>
      </c>
      <c r="G189">
        <v>16</v>
      </c>
      <c r="H189" t="s">
        <v>139</v>
      </c>
      <c r="I189" s="62">
        <v>81584</v>
      </c>
      <c r="J189">
        <v>1</v>
      </c>
    </row>
    <row r="190" spans="1:10" x14ac:dyDescent="0.25">
      <c r="A190" t="s">
        <v>494</v>
      </c>
      <c r="B190" t="s">
        <v>495</v>
      </c>
      <c r="C190" t="str">
        <f>_xlfn.TEXTJOIN(",",TRUE, Employee[[#This Row],[Last Name]], Employee[[#This Row],[First Name]])</f>
        <v>Baxter, Teresa</v>
      </c>
      <c r="D190" t="s">
        <v>148</v>
      </c>
      <c r="E190" t="s">
        <v>484</v>
      </c>
      <c r="F190" s="61">
        <v>36885</v>
      </c>
      <c r="G190">
        <v>16</v>
      </c>
      <c r="H190" t="s">
        <v>139</v>
      </c>
      <c r="I190" s="62">
        <v>74768</v>
      </c>
      <c r="J190">
        <v>5</v>
      </c>
    </row>
    <row r="191" spans="1:10" x14ac:dyDescent="0.25">
      <c r="A191" t="s">
        <v>496</v>
      </c>
      <c r="B191" t="s">
        <v>405</v>
      </c>
      <c r="C191" t="str">
        <f>_xlfn.TEXTJOIN(",",TRUE, Employee[[#This Row],[Last Name]], Employee[[#This Row],[First Name]])</f>
        <v>Mercado, David</v>
      </c>
      <c r="D191" t="s">
        <v>161</v>
      </c>
      <c r="E191" t="s">
        <v>484</v>
      </c>
      <c r="F191" s="61">
        <v>37255</v>
      </c>
      <c r="G191">
        <v>15</v>
      </c>
      <c r="H191" t="s">
        <v>152</v>
      </c>
      <c r="I191" s="62">
        <v>104733</v>
      </c>
      <c r="J191">
        <v>2</v>
      </c>
    </row>
    <row r="192" spans="1:10" x14ac:dyDescent="0.25">
      <c r="A192" t="s">
        <v>497</v>
      </c>
      <c r="B192" t="s">
        <v>177</v>
      </c>
      <c r="C192" t="str">
        <f>_xlfn.TEXTJOIN(",",TRUE, Employee[[#This Row],[Last Name]], Employee[[#This Row],[First Name]])</f>
        <v>Patel, Donald</v>
      </c>
      <c r="D192" t="s">
        <v>161</v>
      </c>
      <c r="E192" t="s">
        <v>484</v>
      </c>
      <c r="F192" s="61">
        <v>37613</v>
      </c>
      <c r="G192">
        <v>14</v>
      </c>
      <c r="H192" t="s">
        <v>139</v>
      </c>
      <c r="I192" s="62">
        <v>80559</v>
      </c>
      <c r="J192">
        <v>4</v>
      </c>
    </row>
    <row r="193" spans="1:10" x14ac:dyDescent="0.25">
      <c r="A193" t="s">
        <v>498</v>
      </c>
      <c r="B193" t="s">
        <v>386</v>
      </c>
      <c r="C193" t="str">
        <f>_xlfn.TEXTJOIN(",",TRUE, Employee[[#This Row],[Last Name]], Employee[[#This Row],[First Name]])</f>
        <v>Rodriguez, Scott</v>
      </c>
      <c r="D193" t="s">
        <v>155</v>
      </c>
      <c r="E193" t="s">
        <v>484</v>
      </c>
      <c r="F193" s="61">
        <v>38712</v>
      </c>
      <c r="G193">
        <v>11</v>
      </c>
      <c r="H193" t="s">
        <v>145</v>
      </c>
      <c r="I193" s="62">
        <v>69372</v>
      </c>
      <c r="J193">
        <v>3</v>
      </c>
    </row>
    <row r="194" spans="1:10" hidden="1" x14ac:dyDescent="0.25">
      <c r="A194" t="s">
        <v>499</v>
      </c>
      <c r="B194" t="s">
        <v>425</v>
      </c>
      <c r="C194" t="str">
        <f>_xlfn.TEXTJOIN(",",TRUE, Employee[[#This Row],[Last Name]], Employee[[#This Row],[First Name]])</f>
        <v>Conley, Mark</v>
      </c>
      <c r="D194" t="s">
        <v>178</v>
      </c>
      <c r="E194" t="s">
        <v>484</v>
      </c>
      <c r="F194" s="61">
        <v>40550</v>
      </c>
      <c r="G194">
        <v>6</v>
      </c>
      <c r="H194" t="s">
        <v>139</v>
      </c>
      <c r="I194" s="62">
        <v>84899</v>
      </c>
      <c r="J194">
        <v>3</v>
      </c>
    </row>
    <row r="195" spans="1:10" hidden="1" x14ac:dyDescent="0.25">
      <c r="A195" t="s">
        <v>500</v>
      </c>
      <c r="B195" t="s">
        <v>501</v>
      </c>
      <c r="C195" t="str">
        <f>_xlfn.TEXTJOIN(",",TRUE, Employee[[#This Row],[Last Name]], Employee[[#This Row],[First Name]])</f>
        <v>Vincent, Guy</v>
      </c>
      <c r="D195" t="s">
        <v>155</v>
      </c>
      <c r="E195" t="s">
        <v>484</v>
      </c>
      <c r="F195" s="61">
        <v>40550</v>
      </c>
      <c r="G195">
        <v>6</v>
      </c>
      <c r="H195" t="s">
        <v>139</v>
      </c>
      <c r="I195" s="62">
        <v>71445</v>
      </c>
      <c r="J195">
        <v>1</v>
      </c>
    </row>
    <row r="196" spans="1:10" hidden="1" x14ac:dyDescent="0.25">
      <c r="A196" t="s">
        <v>502</v>
      </c>
      <c r="B196" t="s">
        <v>481</v>
      </c>
      <c r="C196" t="str">
        <f>_xlfn.TEXTJOIN(",",TRUE, Employee[[#This Row],[Last Name]], Employee[[#This Row],[First Name]])</f>
        <v>Dixon, Richard</v>
      </c>
      <c r="D196" t="s">
        <v>137</v>
      </c>
      <c r="E196" t="s">
        <v>484</v>
      </c>
      <c r="F196" s="61">
        <v>39811</v>
      </c>
      <c r="G196">
        <v>8</v>
      </c>
      <c r="H196" t="s">
        <v>168</v>
      </c>
      <c r="I196" s="62">
        <v>57624</v>
      </c>
      <c r="J196">
        <v>4</v>
      </c>
    </row>
    <row r="197" spans="1:10" hidden="1" x14ac:dyDescent="0.25">
      <c r="A197" t="s">
        <v>503</v>
      </c>
      <c r="B197" t="s">
        <v>504</v>
      </c>
      <c r="C197" t="str">
        <f>_xlfn.TEXTJOIN(",",TRUE, Employee[[#This Row],[Last Name]], Employee[[#This Row],[First Name]])</f>
        <v>Schultz, Norman</v>
      </c>
      <c r="D197" t="s">
        <v>137</v>
      </c>
      <c r="E197" t="s">
        <v>484</v>
      </c>
      <c r="F197" s="61">
        <v>40165</v>
      </c>
      <c r="G197">
        <v>7</v>
      </c>
      <c r="H197" t="s">
        <v>145</v>
      </c>
      <c r="I197" s="62">
        <v>118087</v>
      </c>
      <c r="J197">
        <v>4</v>
      </c>
    </row>
    <row r="198" spans="1:10" hidden="1" x14ac:dyDescent="0.25">
      <c r="A198" t="s">
        <v>505</v>
      </c>
      <c r="B198" t="s">
        <v>506</v>
      </c>
      <c r="C198" t="str">
        <f>_xlfn.TEXTJOIN(",",TRUE, Employee[[#This Row],[Last Name]], Employee[[#This Row],[First Name]])</f>
        <v>Cox, Stephanie</v>
      </c>
      <c r="D198" t="s">
        <v>151</v>
      </c>
      <c r="E198" t="s">
        <v>484</v>
      </c>
      <c r="F198" s="61">
        <v>40533</v>
      </c>
      <c r="G198">
        <v>6</v>
      </c>
      <c r="H198" t="s">
        <v>185</v>
      </c>
      <c r="I198" s="62">
        <v>46256</v>
      </c>
      <c r="J198">
        <v>4</v>
      </c>
    </row>
    <row r="199" spans="1:10" hidden="1" x14ac:dyDescent="0.25">
      <c r="A199" t="s">
        <v>507</v>
      </c>
      <c r="B199" t="s">
        <v>425</v>
      </c>
      <c r="C199" t="str">
        <f>_xlfn.TEXTJOIN(",",TRUE, Employee[[#This Row],[Last Name]], Employee[[#This Row],[First Name]])</f>
        <v>Conner, Mark</v>
      </c>
      <c r="D199" t="s">
        <v>137</v>
      </c>
      <c r="E199" t="s">
        <v>484</v>
      </c>
      <c r="F199" s="61">
        <v>40900</v>
      </c>
      <c r="G199">
        <v>5</v>
      </c>
      <c r="H199" t="s">
        <v>145</v>
      </c>
      <c r="I199" s="62">
        <v>43152</v>
      </c>
      <c r="J199">
        <v>5</v>
      </c>
    </row>
    <row r="200" spans="1:10" hidden="1" x14ac:dyDescent="0.25">
      <c r="A200" t="s">
        <v>508</v>
      </c>
      <c r="B200" t="s">
        <v>196</v>
      </c>
      <c r="C200" t="str">
        <f>_xlfn.TEXTJOIN(",",TRUE, Employee[[#This Row],[Last Name]], Employee[[#This Row],[First Name]])</f>
        <v>Rojas, Charles</v>
      </c>
      <c r="D200" t="s">
        <v>137</v>
      </c>
      <c r="E200" t="s">
        <v>484</v>
      </c>
      <c r="F200" s="61">
        <v>40908</v>
      </c>
      <c r="G200">
        <v>5</v>
      </c>
      <c r="H200" t="s">
        <v>145</v>
      </c>
      <c r="I200" s="62">
        <v>79572</v>
      </c>
      <c r="J200">
        <v>4</v>
      </c>
    </row>
    <row r="201" spans="1:10" hidden="1" x14ac:dyDescent="0.25">
      <c r="A201" t="s">
        <v>509</v>
      </c>
      <c r="B201" t="s">
        <v>293</v>
      </c>
      <c r="C201" t="str">
        <f>_xlfn.TEXTJOIN(",",TRUE, Employee[[#This Row],[Last Name]], Employee[[#This Row],[First Name]])</f>
        <v>McCall, Keith</v>
      </c>
      <c r="D201" t="s">
        <v>155</v>
      </c>
      <c r="E201" t="s">
        <v>484</v>
      </c>
      <c r="F201" s="61">
        <v>41281</v>
      </c>
      <c r="G201">
        <v>4</v>
      </c>
      <c r="H201" t="s">
        <v>139</v>
      </c>
      <c r="I201" s="62">
        <v>119381</v>
      </c>
      <c r="J201">
        <v>5</v>
      </c>
    </row>
    <row r="202" spans="1:10" hidden="1" x14ac:dyDescent="0.25">
      <c r="A202" t="s">
        <v>510</v>
      </c>
      <c r="B202" t="s">
        <v>511</v>
      </c>
      <c r="C202" t="str">
        <f>_xlfn.TEXTJOIN(",",TRUE, Employee[[#This Row],[Last Name]], Employee[[#This Row],[First Name]])</f>
        <v>Burns, Fiona</v>
      </c>
      <c r="D202" t="s">
        <v>161</v>
      </c>
      <c r="E202" t="s">
        <v>484</v>
      </c>
      <c r="F202" s="61">
        <v>41652</v>
      </c>
      <c r="G202">
        <v>3</v>
      </c>
      <c r="H202" t="s">
        <v>145</v>
      </c>
      <c r="I202" s="62">
        <v>77764</v>
      </c>
      <c r="J202">
        <v>4</v>
      </c>
    </row>
    <row r="203" spans="1:10" hidden="1" x14ac:dyDescent="0.25">
      <c r="A203" t="s">
        <v>512</v>
      </c>
      <c r="B203" t="s">
        <v>513</v>
      </c>
      <c r="C203" t="str">
        <f>_xlfn.TEXTJOIN(",",TRUE, Employee[[#This Row],[Last Name]], Employee[[#This Row],[First Name]])</f>
        <v>Herman, Henrietta</v>
      </c>
      <c r="D203" t="s">
        <v>161</v>
      </c>
      <c r="E203" t="s">
        <v>484</v>
      </c>
      <c r="F203" s="61">
        <v>42031</v>
      </c>
      <c r="G203">
        <v>2</v>
      </c>
      <c r="H203" t="s">
        <v>168</v>
      </c>
      <c r="I203" s="62">
        <v>116158</v>
      </c>
      <c r="J203">
        <v>4</v>
      </c>
    </row>
    <row r="204" spans="1:10" x14ac:dyDescent="0.25">
      <c r="A204" t="s">
        <v>514</v>
      </c>
      <c r="B204" t="s">
        <v>405</v>
      </c>
      <c r="C204" t="str">
        <f>_xlfn.TEXTJOIN(",",TRUE, Employee[[#This Row],[Last Name]], Employee[[#This Row],[First Name]])</f>
        <v>Meyers, David</v>
      </c>
      <c r="D204" t="s">
        <v>137</v>
      </c>
      <c r="E204" t="s">
        <v>484</v>
      </c>
      <c r="F204" s="61">
        <v>36907</v>
      </c>
      <c r="G204">
        <v>16</v>
      </c>
      <c r="H204" t="s">
        <v>145</v>
      </c>
      <c r="I204" s="62">
        <v>85348</v>
      </c>
      <c r="J204">
        <v>3</v>
      </c>
    </row>
    <row r="205" spans="1:10" x14ac:dyDescent="0.25">
      <c r="A205" t="s">
        <v>515</v>
      </c>
      <c r="B205" t="s">
        <v>516</v>
      </c>
      <c r="C205" t="str">
        <f>_xlfn.TEXTJOIN(",",TRUE, Employee[[#This Row],[Last Name]], Employee[[#This Row],[First Name]])</f>
        <v>Walker, Mike</v>
      </c>
      <c r="D205" t="s">
        <v>151</v>
      </c>
      <c r="E205" t="s">
        <v>484</v>
      </c>
      <c r="F205" s="61">
        <v>36908</v>
      </c>
      <c r="G205">
        <v>16</v>
      </c>
      <c r="H205" t="s">
        <v>152</v>
      </c>
      <c r="I205" s="62">
        <v>98150</v>
      </c>
      <c r="J205">
        <v>5</v>
      </c>
    </row>
    <row r="206" spans="1:10" x14ac:dyDescent="0.25">
      <c r="A206" t="s">
        <v>517</v>
      </c>
      <c r="B206" t="s">
        <v>518</v>
      </c>
      <c r="C206" t="str">
        <f>_xlfn.TEXTJOIN(",",TRUE, Employee[[#This Row],[Last Name]], Employee[[#This Row],[First Name]])</f>
        <v>Butler, Roy</v>
      </c>
      <c r="D206" t="s">
        <v>148</v>
      </c>
      <c r="E206" t="s">
        <v>484</v>
      </c>
      <c r="F206" s="61">
        <v>37276</v>
      </c>
      <c r="G206">
        <v>15</v>
      </c>
      <c r="H206" t="s">
        <v>168</v>
      </c>
      <c r="I206" s="62">
        <v>85604</v>
      </c>
      <c r="J206">
        <v>2</v>
      </c>
    </row>
    <row r="207" spans="1:10" x14ac:dyDescent="0.25">
      <c r="A207" t="s">
        <v>519</v>
      </c>
      <c r="B207" t="s">
        <v>291</v>
      </c>
      <c r="C207" t="str">
        <f>_xlfn.TEXTJOIN(",",TRUE, Employee[[#This Row],[Last Name]], Employee[[#This Row],[First Name]])</f>
        <v>Carrillo, Robert</v>
      </c>
      <c r="D207" t="s">
        <v>155</v>
      </c>
      <c r="E207" t="s">
        <v>484</v>
      </c>
      <c r="F207" s="61">
        <v>39122</v>
      </c>
      <c r="G207">
        <v>10</v>
      </c>
      <c r="H207" t="s">
        <v>145</v>
      </c>
      <c r="I207" s="62">
        <v>44072</v>
      </c>
      <c r="J207">
        <v>2</v>
      </c>
    </row>
    <row r="208" spans="1:10" hidden="1" x14ac:dyDescent="0.25">
      <c r="A208" t="s">
        <v>520</v>
      </c>
      <c r="B208" t="s">
        <v>521</v>
      </c>
      <c r="C208" t="str">
        <f>_xlfn.TEXTJOIN(",",TRUE, Employee[[#This Row],[Last Name]], Employee[[#This Row],[First Name]])</f>
        <v>Bridges, Jeff</v>
      </c>
      <c r="D208" t="s">
        <v>137</v>
      </c>
      <c r="E208" t="s">
        <v>484</v>
      </c>
      <c r="F208" s="61">
        <v>41656</v>
      </c>
      <c r="G208">
        <v>3</v>
      </c>
      <c r="H208" t="s">
        <v>139</v>
      </c>
      <c r="I208" s="62">
        <v>49935</v>
      </c>
      <c r="J208">
        <v>2</v>
      </c>
    </row>
    <row r="209" spans="1:10" hidden="1" x14ac:dyDescent="0.25">
      <c r="A209" t="s">
        <v>522</v>
      </c>
      <c r="B209" t="s">
        <v>523</v>
      </c>
      <c r="C209" t="str">
        <f>_xlfn.TEXTJOIN(",",TRUE, Employee[[#This Row],[Last Name]], Employee[[#This Row],[First Name]])</f>
        <v>Berry, Jacklyn</v>
      </c>
      <c r="D209" t="s">
        <v>148</v>
      </c>
      <c r="E209" t="s">
        <v>484</v>
      </c>
      <c r="F209" s="61">
        <v>40222</v>
      </c>
      <c r="G209">
        <v>7</v>
      </c>
      <c r="H209" t="s">
        <v>145</v>
      </c>
      <c r="I209" s="62">
        <v>59161</v>
      </c>
      <c r="J209">
        <v>4</v>
      </c>
    </row>
    <row r="210" spans="1:10" hidden="1" x14ac:dyDescent="0.25">
      <c r="A210" t="s">
        <v>524</v>
      </c>
      <c r="B210" t="s">
        <v>525</v>
      </c>
      <c r="C210" t="str">
        <f>_xlfn.TEXTJOIN(",",TRUE, Employee[[#This Row],[Last Name]], Employee[[#This Row],[First Name]])</f>
        <v>O'Neal, William</v>
      </c>
      <c r="D210" t="s">
        <v>137</v>
      </c>
      <c r="E210" t="s">
        <v>484</v>
      </c>
      <c r="F210" s="61">
        <v>40244</v>
      </c>
      <c r="G210">
        <v>7</v>
      </c>
      <c r="H210" t="s">
        <v>145</v>
      </c>
      <c r="I210" s="62">
        <v>49138</v>
      </c>
      <c r="J210">
        <v>4</v>
      </c>
    </row>
    <row r="211" spans="1:10" hidden="1" x14ac:dyDescent="0.25">
      <c r="A211" t="s">
        <v>526</v>
      </c>
      <c r="B211" t="s">
        <v>429</v>
      </c>
      <c r="C211" t="str">
        <f>_xlfn.TEXTJOIN(",",TRUE, Employee[[#This Row],[Last Name]], Employee[[#This Row],[First Name]])</f>
        <v>Frazier, Chris</v>
      </c>
      <c r="D211" t="s">
        <v>161</v>
      </c>
      <c r="E211" t="s">
        <v>484</v>
      </c>
      <c r="F211" s="61">
        <v>40596</v>
      </c>
      <c r="G211">
        <v>6</v>
      </c>
      <c r="H211" t="s">
        <v>185</v>
      </c>
      <c r="I211" s="62">
        <v>110203</v>
      </c>
      <c r="J211">
        <v>2</v>
      </c>
    </row>
    <row r="212" spans="1:10" hidden="1" x14ac:dyDescent="0.25">
      <c r="A212" t="s">
        <v>527</v>
      </c>
      <c r="B212" t="s">
        <v>248</v>
      </c>
      <c r="C212" t="str">
        <f>_xlfn.TEXTJOIN(",",TRUE, Employee[[#This Row],[Last Name]], Employee[[#This Row],[First Name]])</f>
        <v>Rice, Diane</v>
      </c>
      <c r="D212" t="s">
        <v>148</v>
      </c>
      <c r="E212" t="s">
        <v>484</v>
      </c>
      <c r="F212" s="61">
        <v>40246</v>
      </c>
      <c r="G212">
        <v>7</v>
      </c>
      <c r="H212" t="s">
        <v>139</v>
      </c>
      <c r="I212" s="62">
        <v>74224</v>
      </c>
      <c r="J212">
        <v>3</v>
      </c>
    </row>
    <row r="213" spans="1:10" hidden="1" x14ac:dyDescent="0.25">
      <c r="A213" t="s">
        <v>528</v>
      </c>
      <c r="B213" t="s">
        <v>529</v>
      </c>
      <c r="C213" t="str">
        <f>_xlfn.TEXTJOIN(",",TRUE, Employee[[#This Row],[Last Name]], Employee[[#This Row],[First Name]])</f>
        <v>Sharp, Janine</v>
      </c>
      <c r="D213" t="s">
        <v>137</v>
      </c>
      <c r="E213" t="s">
        <v>484</v>
      </c>
      <c r="F213" s="61">
        <v>39855</v>
      </c>
      <c r="G213">
        <v>8</v>
      </c>
      <c r="H213" t="s">
        <v>145</v>
      </c>
      <c r="I213" s="62">
        <v>91698</v>
      </c>
      <c r="J213">
        <v>1</v>
      </c>
    </row>
    <row r="214" spans="1:10" hidden="1" x14ac:dyDescent="0.25">
      <c r="A214" t="s">
        <v>530</v>
      </c>
      <c r="B214" t="s">
        <v>218</v>
      </c>
      <c r="C214" t="str">
        <f>_xlfn.TEXTJOIN(",",TRUE, Employee[[#This Row],[Last Name]], Employee[[#This Row],[First Name]])</f>
        <v>Boyer, John</v>
      </c>
      <c r="D214" t="s">
        <v>137</v>
      </c>
      <c r="E214" t="s">
        <v>484</v>
      </c>
      <c r="F214" s="61">
        <v>39876</v>
      </c>
      <c r="G214">
        <v>8</v>
      </c>
      <c r="H214" t="s">
        <v>185</v>
      </c>
      <c r="I214" s="62">
        <v>75799</v>
      </c>
      <c r="J214">
        <v>5</v>
      </c>
    </row>
    <row r="215" spans="1:10" hidden="1" x14ac:dyDescent="0.25">
      <c r="A215" t="s">
        <v>531</v>
      </c>
      <c r="B215" t="s">
        <v>532</v>
      </c>
      <c r="C215" t="str">
        <f>_xlfn.TEXTJOIN(",",TRUE, Employee[[#This Row],[Last Name]], Employee[[#This Row],[First Name]])</f>
        <v>Allen, Thomas</v>
      </c>
      <c r="D215" t="s">
        <v>161</v>
      </c>
      <c r="E215" t="s">
        <v>484</v>
      </c>
      <c r="F215" s="61">
        <v>39885</v>
      </c>
      <c r="G215">
        <v>8</v>
      </c>
      <c r="H215" t="s">
        <v>139</v>
      </c>
      <c r="I215" s="62">
        <v>99925</v>
      </c>
      <c r="J215">
        <v>2</v>
      </c>
    </row>
    <row r="216" spans="1:10" x14ac:dyDescent="0.25">
      <c r="A216" t="s">
        <v>533</v>
      </c>
      <c r="B216" t="s">
        <v>534</v>
      </c>
      <c r="C216" t="str">
        <f>_xlfn.TEXTJOIN(",",TRUE, Employee[[#This Row],[Last Name]], Employee[[#This Row],[First Name]])</f>
        <v>Cole, Elbert</v>
      </c>
      <c r="D216" t="s">
        <v>178</v>
      </c>
      <c r="E216" t="s">
        <v>484</v>
      </c>
      <c r="F216" s="61">
        <v>37678</v>
      </c>
      <c r="G216">
        <v>14</v>
      </c>
      <c r="H216" t="s">
        <v>145</v>
      </c>
      <c r="I216" s="62">
        <v>108582</v>
      </c>
      <c r="J216">
        <v>2</v>
      </c>
    </row>
    <row r="217" spans="1:10" x14ac:dyDescent="0.25">
      <c r="A217" t="s">
        <v>535</v>
      </c>
      <c r="B217" t="s">
        <v>240</v>
      </c>
      <c r="C217" t="str">
        <f>_xlfn.TEXTJOIN(",",TRUE, Employee[[#This Row],[Last Name]], Employee[[#This Row],[First Name]])</f>
        <v>Boyd, Debra</v>
      </c>
      <c r="D217" t="s">
        <v>155</v>
      </c>
      <c r="E217" t="s">
        <v>484</v>
      </c>
      <c r="F217" s="61">
        <v>37682</v>
      </c>
      <c r="G217">
        <v>14</v>
      </c>
      <c r="H217" t="s">
        <v>185</v>
      </c>
      <c r="I217" s="62">
        <v>45498</v>
      </c>
      <c r="J217">
        <v>3</v>
      </c>
    </row>
    <row r="218" spans="1:10" x14ac:dyDescent="0.25">
      <c r="A218" t="s">
        <v>536</v>
      </c>
      <c r="B218" t="s">
        <v>405</v>
      </c>
      <c r="C218" t="str">
        <f>_xlfn.TEXTJOIN(",",TRUE, Employee[[#This Row],[Last Name]], Employee[[#This Row],[First Name]])</f>
        <v>Larson, David</v>
      </c>
      <c r="D218" t="s">
        <v>155</v>
      </c>
      <c r="E218" t="s">
        <v>484</v>
      </c>
      <c r="F218" s="61">
        <v>38055</v>
      </c>
      <c r="G218">
        <v>13</v>
      </c>
      <c r="H218" t="s">
        <v>145</v>
      </c>
      <c r="I218" s="62">
        <v>55683</v>
      </c>
      <c r="J218">
        <v>5</v>
      </c>
    </row>
    <row r="219" spans="1:10" x14ac:dyDescent="0.25">
      <c r="A219" t="s">
        <v>537</v>
      </c>
      <c r="B219" t="s">
        <v>538</v>
      </c>
      <c r="C219" t="str">
        <f>_xlfn.TEXTJOIN(",",TRUE, Employee[[#This Row],[Last Name]], Employee[[#This Row],[First Name]])</f>
        <v>Roth, Tony</v>
      </c>
      <c r="D219" t="s">
        <v>148</v>
      </c>
      <c r="E219" t="s">
        <v>484</v>
      </c>
      <c r="F219" s="61">
        <v>38404</v>
      </c>
      <c r="G219">
        <v>12</v>
      </c>
      <c r="H219" t="s">
        <v>145</v>
      </c>
      <c r="I219" s="62">
        <v>63745</v>
      </c>
      <c r="J219">
        <v>2</v>
      </c>
    </row>
    <row r="220" spans="1:10" x14ac:dyDescent="0.25">
      <c r="A220" t="s">
        <v>539</v>
      </c>
      <c r="B220" t="s">
        <v>540</v>
      </c>
      <c r="C220" t="str">
        <f>_xlfn.TEXTJOIN(",",TRUE, Employee[[#This Row],[Last Name]], Employee[[#This Row],[First Name]])</f>
        <v>Stewart, Elizabeth</v>
      </c>
      <c r="D220" t="s">
        <v>161</v>
      </c>
      <c r="E220" t="s">
        <v>484</v>
      </c>
      <c r="F220" s="61">
        <v>38409</v>
      </c>
      <c r="G220">
        <v>12</v>
      </c>
      <c r="H220" t="s">
        <v>185</v>
      </c>
      <c r="I220" s="62">
        <v>77739</v>
      </c>
      <c r="J220">
        <v>3</v>
      </c>
    </row>
    <row r="221" spans="1:10" x14ac:dyDescent="0.25">
      <c r="A221" t="s">
        <v>541</v>
      </c>
      <c r="B221" t="s">
        <v>218</v>
      </c>
      <c r="C221" t="str">
        <f>_xlfn.TEXTJOIN(",",TRUE, Employee[[#This Row],[Last Name]], Employee[[#This Row],[First Name]])</f>
        <v>Robinson, John</v>
      </c>
      <c r="D221" t="s">
        <v>155</v>
      </c>
      <c r="E221" t="s">
        <v>484</v>
      </c>
      <c r="F221" s="61">
        <v>39151</v>
      </c>
      <c r="G221">
        <v>10</v>
      </c>
      <c r="H221" t="s">
        <v>145</v>
      </c>
      <c r="I221" s="62">
        <v>55397</v>
      </c>
      <c r="J221">
        <v>2</v>
      </c>
    </row>
    <row r="222" spans="1:10" hidden="1" x14ac:dyDescent="0.25">
      <c r="A222" t="s">
        <v>542</v>
      </c>
      <c r="B222" t="s">
        <v>543</v>
      </c>
      <c r="C222" t="str">
        <f>_xlfn.TEXTJOIN(",",TRUE, Employee[[#This Row],[Last Name]], Employee[[#This Row],[First Name]])</f>
        <v>Blackburn, Kathryn</v>
      </c>
      <c r="D222" t="s">
        <v>137</v>
      </c>
      <c r="E222" t="s">
        <v>484</v>
      </c>
      <c r="F222" s="61">
        <v>40616</v>
      </c>
      <c r="G222">
        <v>6</v>
      </c>
      <c r="H222" t="s">
        <v>145</v>
      </c>
      <c r="I222" s="62">
        <v>43656</v>
      </c>
      <c r="J222">
        <v>4</v>
      </c>
    </row>
    <row r="223" spans="1:10" hidden="1" x14ac:dyDescent="0.25">
      <c r="A223" t="s">
        <v>544</v>
      </c>
      <c r="B223" t="s">
        <v>240</v>
      </c>
      <c r="C223" t="str">
        <f>_xlfn.TEXTJOIN(",",TRUE, Employee[[#This Row],[Last Name]], Employee[[#This Row],[First Name]])</f>
        <v>Gibbs, Debra</v>
      </c>
      <c r="D223" t="s">
        <v>155</v>
      </c>
      <c r="E223" t="s">
        <v>484</v>
      </c>
      <c r="F223" s="61">
        <v>41681</v>
      </c>
      <c r="G223">
        <v>3</v>
      </c>
      <c r="H223" t="s">
        <v>152</v>
      </c>
      <c r="I223" s="62">
        <v>80066</v>
      </c>
      <c r="J223">
        <v>1</v>
      </c>
    </row>
    <row r="224" spans="1:10" hidden="1" x14ac:dyDescent="0.25">
      <c r="A224" t="s">
        <v>545</v>
      </c>
      <c r="B224" t="s">
        <v>546</v>
      </c>
      <c r="C224" t="str">
        <f>_xlfn.TEXTJOIN(",",TRUE, Employee[[#This Row],[Last Name]], Employee[[#This Row],[First Name]])</f>
        <v>Greene, Alexander</v>
      </c>
      <c r="D224" t="s">
        <v>137</v>
      </c>
      <c r="E224" t="s">
        <v>484</v>
      </c>
      <c r="F224" s="61">
        <v>42103</v>
      </c>
      <c r="G224">
        <v>2</v>
      </c>
      <c r="H224" t="s">
        <v>185</v>
      </c>
      <c r="I224" s="62">
        <v>54894</v>
      </c>
      <c r="J224">
        <v>1</v>
      </c>
    </row>
    <row r="225" spans="1:10" hidden="1" x14ac:dyDescent="0.25">
      <c r="A225" t="s">
        <v>547</v>
      </c>
      <c r="B225" t="s">
        <v>396</v>
      </c>
      <c r="C225" t="str">
        <f>_xlfn.TEXTJOIN(",",TRUE, Employee[[#This Row],[Last Name]], Employee[[#This Row],[First Name]])</f>
        <v>Fuller, Brenda</v>
      </c>
      <c r="D225" t="s">
        <v>161</v>
      </c>
      <c r="E225" t="s">
        <v>484</v>
      </c>
      <c r="F225" s="61">
        <v>42104</v>
      </c>
      <c r="G225">
        <v>2</v>
      </c>
      <c r="H225" t="s">
        <v>185</v>
      </c>
      <c r="I225" s="62">
        <v>80600</v>
      </c>
      <c r="J225">
        <v>5</v>
      </c>
    </row>
    <row r="226" spans="1:10" hidden="1" x14ac:dyDescent="0.25">
      <c r="A226" t="s">
        <v>548</v>
      </c>
      <c r="B226" t="s">
        <v>549</v>
      </c>
      <c r="C226" t="str">
        <f>_xlfn.TEXTJOIN(",",TRUE, Employee[[#This Row],[Last Name]], Employee[[#This Row],[First Name]])</f>
        <v>Callahan, Marilyn</v>
      </c>
      <c r="D226" t="s">
        <v>178</v>
      </c>
      <c r="E226" t="s">
        <v>484</v>
      </c>
      <c r="F226" s="61">
        <v>40259</v>
      </c>
      <c r="G226">
        <v>7</v>
      </c>
      <c r="H226" t="s">
        <v>185</v>
      </c>
      <c r="I226" s="62">
        <v>108167</v>
      </c>
      <c r="J226">
        <v>4</v>
      </c>
    </row>
    <row r="227" spans="1:10" hidden="1" x14ac:dyDescent="0.25">
      <c r="A227" t="s">
        <v>550</v>
      </c>
      <c r="B227" t="s">
        <v>407</v>
      </c>
      <c r="C227" t="str">
        <f>_xlfn.TEXTJOIN(",",TRUE, Employee[[#This Row],[Last Name]], Employee[[#This Row],[First Name]])</f>
        <v>McConnell, Justin</v>
      </c>
      <c r="D227" t="s">
        <v>161</v>
      </c>
      <c r="E227" t="s">
        <v>484</v>
      </c>
      <c r="F227" s="61">
        <v>40617</v>
      </c>
      <c r="G227">
        <v>6</v>
      </c>
      <c r="H227" t="s">
        <v>145</v>
      </c>
      <c r="I227" s="62">
        <v>124571</v>
      </c>
      <c r="J227">
        <v>3</v>
      </c>
    </row>
    <row r="228" spans="1:10" hidden="1" x14ac:dyDescent="0.25">
      <c r="A228" t="s">
        <v>551</v>
      </c>
      <c r="B228" t="s">
        <v>552</v>
      </c>
      <c r="C228" t="str">
        <f>_xlfn.TEXTJOIN(",",TRUE, Employee[[#This Row],[Last Name]], Employee[[#This Row],[First Name]])</f>
        <v>Smith, Koleen</v>
      </c>
      <c r="D228" t="s">
        <v>161</v>
      </c>
      <c r="E228" t="s">
        <v>484</v>
      </c>
      <c r="F228" s="61">
        <v>41347</v>
      </c>
      <c r="G228">
        <v>4</v>
      </c>
      <c r="H228" t="s">
        <v>185</v>
      </c>
      <c r="I228" s="62">
        <v>60684</v>
      </c>
      <c r="J228">
        <v>3</v>
      </c>
    </row>
    <row r="229" spans="1:10" hidden="1" x14ac:dyDescent="0.25">
      <c r="A229" t="s">
        <v>553</v>
      </c>
      <c r="B229" t="s">
        <v>554</v>
      </c>
      <c r="C229" t="str">
        <f>_xlfn.TEXTJOIN(",",TRUE, Employee[[#This Row],[Last Name]], Employee[[#This Row],[First Name]])</f>
        <v>Herring, Joanna</v>
      </c>
      <c r="D229" t="s">
        <v>155</v>
      </c>
      <c r="E229" t="s">
        <v>484</v>
      </c>
      <c r="F229" s="61">
        <v>41376</v>
      </c>
      <c r="G229">
        <v>4</v>
      </c>
      <c r="H229" t="s">
        <v>145</v>
      </c>
      <c r="I229" s="62">
        <v>89796</v>
      </c>
      <c r="J229">
        <v>3</v>
      </c>
    </row>
    <row r="230" spans="1:10" hidden="1" x14ac:dyDescent="0.25">
      <c r="A230" t="s">
        <v>555</v>
      </c>
      <c r="B230" t="s">
        <v>556</v>
      </c>
      <c r="C230" t="str">
        <f>_xlfn.TEXTJOIN(",",TRUE, Employee[[#This Row],[Last Name]], Employee[[#This Row],[First Name]])</f>
        <v>Fernandez, Marie</v>
      </c>
      <c r="D230" t="s">
        <v>155</v>
      </c>
      <c r="E230" t="s">
        <v>484</v>
      </c>
      <c r="F230" s="61">
        <v>39891</v>
      </c>
      <c r="G230">
        <v>8</v>
      </c>
      <c r="H230" t="s">
        <v>185</v>
      </c>
      <c r="I230" s="62">
        <v>101665</v>
      </c>
      <c r="J230">
        <v>2</v>
      </c>
    </row>
    <row r="231" spans="1:10" hidden="1" x14ac:dyDescent="0.25">
      <c r="A231" t="s">
        <v>557</v>
      </c>
      <c r="B231" t="s">
        <v>425</v>
      </c>
      <c r="C231" t="str">
        <f>_xlfn.TEXTJOIN(",",TRUE, Employee[[#This Row],[Last Name]], Employee[[#This Row],[First Name]])</f>
        <v>Houston, Mark</v>
      </c>
      <c r="D231" t="s">
        <v>178</v>
      </c>
      <c r="E231" t="s">
        <v>484</v>
      </c>
      <c r="F231" s="61">
        <v>39894</v>
      </c>
      <c r="G231">
        <v>8</v>
      </c>
      <c r="H231" t="s">
        <v>152</v>
      </c>
      <c r="I231" s="62">
        <v>103608</v>
      </c>
      <c r="J231">
        <v>1</v>
      </c>
    </row>
    <row r="232" spans="1:10" x14ac:dyDescent="0.25">
      <c r="A232" t="s">
        <v>558</v>
      </c>
      <c r="B232" t="s">
        <v>559</v>
      </c>
      <c r="C232" t="str">
        <f>_xlfn.TEXTJOIN(",",TRUE, Employee[[#This Row],[Last Name]], Employee[[#This Row],[First Name]])</f>
        <v>Francis, Todd</v>
      </c>
      <c r="D232" t="s">
        <v>161</v>
      </c>
      <c r="E232" t="s">
        <v>484</v>
      </c>
      <c r="F232" s="61">
        <v>37347</v>
      </c>
      <c r="G232">
        <v>15</v>
      </c>
      <c r="H232" t="s">
        <v>185</v>
      </c>
      <c r="I232" s="62">
        <v>95553</v>
      </c>
      <c r="J232">
        <v>1</v>
      </c>
    </row>
    <row r="233" spans="1:10" x14ac:dyDescent="0.25">
      <c r="A233" t="s">
        <v>560</v>
      </c>
      <c r="B233" t="s">
        <v>561</v>
      </c>
      <c r="C233" t="str">
        <f>_xlfn.TEXTJOIN(",",TRUE, Employee[[#This Row],[Last Name]], Employee[[#This Row],[First Name]])</f>
        <v>Wright, Brad</v>
      </c>
      <c r="D233" t="s">
        <v>161</v>
      </c>
      <c r="E233" t="s">
        <v>484</v>
      </c>
      <c r="F233" s="61">
        <v>37351</v>
      </c>
      <c r="G233">
        <v>15</v>
      </c>
      <c r="H233" t="s">
        <v>185</v>
      </c>
      <c r="I233" s="62">
        <v>60725</v>
      </c>
      <c r="J233">
        <v>4</v>
      </c>
    </row>
    <row r="234" spans="1:10" x14ac:dyDescent="0.25">
      <c r="A234" t="s">
        <v>562</v>
      </c>
      <c r="B234" t="s">
        <v>218</v>
      </c>
      <c r="C234" t="str">
        <f>_xlfn.TEXTJOIN(",",TRUE, Employee[[#This Row],[Last Name]], Employee[[#This Row],[First Name]])</f>
        <v>Sexton, John</v>
      </c>
      <c r="D234" t="s">
        <v>161</v>
      </c>
      <c r="E234" t="s">
        <v>484</v>
      </c>
      <c r="F234" s="61">
        <v>37715</v>
      </c>
      <c r="G234">
        <v>14</v>
      </c>
      <c r="H234" t="s">
        <v>145</v>
      </c>
      <c r="I234" s="62">
        <v>95190</v>
      </c>
      <c r="J234">
        <v>3</v>
      </c>
    </row>
    <row r="235" spans="1:10" x14ac:dyDescent="0.25">
      <c r="A235" t="s">
        <v>563</v>
      </c>
      <c r="B235" t="s">
        <v>564</v>
      </c>
      <c r="C235" t="str">
        <f>_xlfn.TEXTJOIN(",",TRUE, Employee[[#This Row],[Last Name]], Employee[[#This Row],[First Name]])</f>
        <v>Dickerson, Lincoln</v>
      </c>
      <c r="D235" t="s">
        <v>155</v>
      </c>
      <c r="E235" t="s">
        <v>484</v>
      </c>
      <c r="F235" s="61">
        <v>38808</v>
      </c>
      <c r="G235">
        <v>11</v>
      </c>
      <c r="H235" t="s">
        <v>145</v>
      </c>
      <c r="I235" s="62">
        <v>120516</v>
      </c>
      <c r="J235">
        <v>1</v>
      </c>
    </row>
    <row r="236" spans="1:10" hidden="1" x14ac:dyDescent="0.25">
      <c r="A236" t="s">
        <v>565</v>
      </c>
      <c r="B236" t="s">
        <v>147</v>
      </c>
      <c r="C236" t="str">
        <f>_xlfn.TEXTJOIN(",",TRUE, Employee[[#This Row],[Last Name]], Employee[[#This Row],[First Name]])</f>
        <v>Harris, Brian</v>
      </c>
      <c r="D236" t="s">
        <v>137</v>
      </c>
      <c r="E236" t="s">
        <v>484</v>
      </c>
      <c r="F236" s="61">
        <v>39887</v>
      </c>
      <c r="G236">
        <v>8</v>
      </c>
      <c r="H236" t="s">
        <v>142</v>
      </c>
      <c r="I236" s="62">
        <v>82468</v>
      </c>
      <c r="J236">
        <v>1</v>
      </c>
    </row>
    <row r="237" spans="1:10" hidden="1" x14ac:dyDescent="0.25">
      <c r="A237" t="s">
        <v>566</v>
      </c>
      <c r="B237" t="s">
        <v>567</v>
      </c>
      <c r="C237" t="str">
        <f>_xlfn.TEXTJOIN(",",TRUE, Employee[[#This Row],[Last Name]], Employee[[#This Row],[First Name]])</f>
        <v>McGee, Carol</v>
      </c>
      <c r="D237" t="s">
        <v>155</v>
      </c>
      <c r="E237" t="s">
        <v>484</v>
      </c>
      <c r="F237" s="61">
        <v>39899</v>
      </c>
      <c r="G237">
        <v>8</v>
      </c>
      <c r="H237" t="s">
        <v>185</v>
      </c>
      <c r="I237" s="62">
        <v>47066</v>
      </c>
      <c r="J237">
        <v>1</v>
      </c>
    </row>
    <row r="238" spans="1:10" hidden="1" x14ac:dyDescent="0.25">
      <c r="A238" t="s">
        <v>568</v>
      </c>
      <c r="B238" t="s">
        <v>386</v>
      </c>
      <c r="C238" t="str">
        <f>_xlfn.TEXTJOIN(",",TRUE, Employee[[#This Row],[Last Name]], Employee[[#This Row],[First Name]])</f>
        <v>Hobbs, Scott</v>
      </c>
      <c r="D238" t="s">
        <v>155</v>
      </c>
      <c r="E238" t="s">
        <v>484</v>
      </c>
      <c r="F238" s="61">
        <v>39910</v>
      </c>
      <c r="G238">
        <v>8</v>
      </c>
      <c r="H238" t="s">
        <v>168</v>
      </c>
      <c r="I238" s="62">
        <v>75425</v>
      </c>
      <c r="J238">
        <v>5</v>
      </c>
    </row>
    <row r="239" spans="1:10" hidden="1" x14ac:dyDescent="0.25">
      <c r="A239" t="s">
        <v>569</v>
      </c>
      <c r="B239" t="s">
        <v>339</v>
      </c>
      <c r="C239" t="str">
        <f>_xlfn.TEXTJOIN(",",TRUE, Employee[[#This Row],[Last Name]], Employee[[#This Row],[First Name]])</f>
        <v>Merritt, Kevin</v>
      </c>
      <c r="D239" t="s">
        <v>155</v>
      </c>
      <c r="E239" t="s">
        <v>484</v>
      </c>
      <c r="F239" s="61">
        <v>40267</v>
      </c>
      <c r="G239">
        <v>7</v>
      </c>
      <c r="H239" t="s">
        <v>145</v>
      </c>
      <c r="I239" s="62">
        <v>62646</v>
      </c>
      <c r="J239">
        <v>2</v>
      </c>
    </row>
    <row r="240" spans="1:10" hidden="1" x14ac:dyDescent="0.25">
      <c r="A240" t="s">
        <v>570</v>
      </c>
      <c r="B240" t="s">
        <v>571</v>
      </c>
      <c r="C240" t="str">
        <f>_xlfn.TEXTJOIN(",",TRUE, Employee[[#This Row],[Last Name]], Employee[[#This Row],[First Name]])</f>
        <v>Perez, Kim</v>
      </c>
      <c r="D240" t="s">
        <v>161</v>
      </c>
      <c r="E240" t="s">
        <v>484</v>
      </c>
      <c r="F240" s="61">
        <v>40623</v>
      </c>
      <c r="G240">
        <v>6</v>
      </c>
      <c r="H240" t="s">
        <v>145</v>
      </c>
      <c r="I240" s="62">
        <v>102244</v>
      </c>
      <c r="J240">
        <v>2</v>
      </c>
    </row>
    <row r="241" spans="1:10" hidden="1" x14ac:dyDescent="0.25">
      <c r="A241" t="s">
        <v>572</v>
      </c>
      <c r="B241" t="s">
        <v>573</v>
      </c>
      <c r="C241" t="str">
        <f>_xlfn.TEXTJOIN(",",TRUE, Employee[[#This Row],[Last Name]], Employee[[#This Row],[First Name]])</f>
        <v>Eaton, Cris</v>
      </c>
      <c r="D241" t="s">
        <v>161</v>
      </c>
      <c r="E241" t="s">
        <v>484</v>
      </c>
      <c r="F241" s="61">
        <v>41348</v>
      </c>
      <c r="G241">
        <v>4</v>
      </c>
      <c r="H241" t="s">
        <v>185</v>
      </c>
      <c r="I241" s="62">
        <v>124999</v>
      </c>
      <c r="J241">
        <v>5</v>
      </c>
    </row>
    <row r="242" spans="1:10" hidden="1" x14ac:dyDescent="0.25">
      <c r="A242" t="s">
        <v>574</v>
      </c>
      <c r="B242" t="s">
        <v>575</v>
      </c>
      <c r="C242" t="str">
        <f>_xlfn.TEXTJOIN(",",TRUE, Employee[[#This Row],[Last Name]], Employee[[#This Row],[First Name]])</f>
        <v>Brady, Traci</v>
      </c>
      <c r="D242" t="s">
        <v>161</v>
      </c>
      <c r="E242" t="s">
        <v>484</v>
      </c>
      <c r="F242" s="61">
        <v>41712</v>
      </c>
      <c r="G242">
        <v>3</v>
      </c>
      <c r="H242" t="s">
        <v>139</v>
      </c>
      <c r="I242" s="62">
        <v>114912</v>
      </c>
      <c r="J242">
        <v>3</v>
      </c>
    </row>
    <row r="243" spans="1:10" hidden="1" x14ac:dyDescent="0.25">
      <c r="A243" t="s">
        <v>576</v>
      </c>
      <c r="B243" t="s">
        <v>309</v>
      </c>
      <c r="C243" t="str">
        <f>_xlfn.TEXTJOIN(",",TRUE, Employee[[#This Row],[Last Name]], Employee[[#This Row],[First Name]])</f>
        <v>Joseph, Christopher</v>
      </c>
      <c r="D243" t="s">
        <v>178</v>
      </c>
      <c r="E243" t="s">
        <v>484</v>
      </c>
      <c r="F243" s="61">
        <v>42134</v>
      </c>
      <c r="G243">
        <v>2</v>
      </c>
      <c r="H243" t="s">
        <v>145</v>
      </c>
      <c r="I243" s="62">
        <v>51756</v>
      </c>
      <c r="J243">
        <v>4</v>
      </c>
    </row>
    <row r="244" spans="1:10" hidden="1" x14ac:dyDescent="0.25">
      <c r="A244" t="s">
        <v>577</v>
      </c>
      <c r="B244" t="s">
        <v>578</v>
      </c>
      <c r="C244" t="str">
        <f>_xlfn.TEXTJOIN(",",TRUE, Employee[[#This Row],[Last Name]], Employee[[#This Row],[First Name]])</f>
        <v>Golden, Christine</v>
      </c>
      <c r="D244" t="s">
        <v>148</v>
      </c>
      <c r="E244" t="s">
        <v>484</v>
      </c>
      <c r="F244" s="61">
        <v>40675</v>
      </c>
      <c r="G244">
        <v>6</v>
      </c>
      <c r="H244" t="s">
        <v>139</v>
      </c>
      <c r="I244" s="62">
        <v>85667</v>
      </c>
      <c r="J244">
        <v>4</v>
      </c>
    </row>
    <row r="245" spans="1:10" hidden="1" x14ac:dyDescent="0.25">
      <c r="A245" t="s">
        <v>579</v>
      </c>
      <c r="B245" t="s">
        <v>580</v>
      </c>
      <c r="C245" t="str">
        <f>_xlfn.TEXTJOIN(",",TRUE, Employee[[#This Row],[Last Name]], Employee[[#This Row],[First Name]])</f>
        <v>Shelton, Donna</v>
      </c>
      <c r="D245" t="s">
        <v>161</v>
      </c>
      <c r="E245" t="s">
        <v>484</v>
      </c>
      <c r="F245" s="61">
        <v>41379</v>
      </c>
      <c r="G245">
        <v>4</v>
      </c>
      <c r="H245" t="s">
        <v>185</v>
      </c>
      <c r="I245" s="62">
        <v>76361</v>
      </c>
      <c r="J245">
        <v>2</v>
      </c>
    </row>
    <row r="246" spans="1:10" hidden="1" x14ac:dyDescent="0.25">
      <c r="A246" t="s">
        <v>581</v>
      </c>
      <c r="B246" t="s">
        <v>582</v>
      </c>
      <c r="C246" t="str">
        <f>_xlfn.TEXTJOIN(",",TRUE, Employee[[#This Row],[Last Name]], Employee[[#This Row],[First Name]])</f>
        <v>Powell, Juli</v>
      </c>
      <c r="D246" t="s">
        <v>155</v>
      </c>
      <c r="E246" t="s">
        <v>484</v>
      </c>
      <c r="F246" s="61">
        <v>41380</v>
      </c>
      <c r="G246">
        <v>4</v>
      </c>
      <c r="H246" t="s">
        <v>139</v>
      </c>
      <c r="I246" s="62">
        <v>42913</v>
      </c>
      <c r="J246">
        <v>5</v>
      </c>
    </row>
    <row r="247" spans="1:10" hidden="1" x14ac:dyDescent="0.25">
      <c r="A247" t="s">
        <v>583</v>
      </c>
      <c r="B247" t="s">
        <v>584</v>
      </c>
      <c r="C247" t="str">
        <f>_xlfn.TEXTJOIN(",",TRUE, Employee[[#This Row],[Last Name]], Employee[[#This Row],[First Name]])</f>
        <v>McBride, Grazyna</v>
      </c>
      <c r="D247" t="s">
        <v>155</v>
      </c>
      <c r="E247" t="s">
        <v>484</v>
      </c>
      <c r="F247" s="61">
        <v>41390</v>
      </c>
      <c r="G247">
        <v>4</v>
      </c>
      <c r="H247" t="s">
        <v>139</v>
      </c>
      <c r="I247" s="62">
        <v>99718</v>
      </c>
      <c r="J247">
        <v>3</v>
      </c>
    </row>
    <row r="248" spans="1:10" x14ac:dyDescent="0.25">
      <c r="A248" t="s">
        <v>585</v>
      </c>
      <c r="B248" t="s">
        <v>586</v>
      </c>
      <c r="C248" t="str">
        <f>_xlfn.TEXTJOIN(",",TRUE, Employee[[#This Row],[Last Name]], Employee[[#This Row],[First Name]])</f>
        <v>Fields, Cathy</v>
      </c>
      <c r="D248" t="s">
        <v>148</v>
      </c>
      <c r="E248" t="s">
        <v>484</v>
      </c>
      <c r="F248" s="61">
        <v>37005</v>
      </c>
      <c r="G248">
        <v>16</v>
      </c>
      <c r="H248" t="s">
        <v>145</v>
      </c>
      <c r="I248" s="62">
        <v>62074</v>
      </c>
      <c r="J248">
        <v>1</v>
      </c>
    </row>
    <row r="249" spans="1:10" x14ac:dyDescent="0.25">
      <c r="A249" t="s">
        <v>587</v>
      </c>
      <c r="B249" t="s">
        <v>588</v>
      </c>
      <c r="C249" t="str">
        <f>_xlfn.TEXTJOIN(",",TRUE, Employee[[#This Row],[Last Name]], Employee[[#This Row],[First Name]])</f>
        <v>Burgess, Cherie</v>
      </c>
      <c r="D249" t="s">
        <v>155</v>
      </c>
      <c r="E249" t="s">
        <v>484</v>
      </c>
      <c r="F249" s="61">
        <v>37010</v>
      </c>
      <c r="G249">
        <v>16</v>
      </c>
      <c r="H249" t="s">
        <v>185</v>
      </c>
      <c r="I249" s="62">
        <v>97294</v>
      </c>
      <c r="J249">
        <v>5</v>
      </c>
    </row>
    <row r="250" spans="1:10" x14ac:dyDescent="0.25">
      <c r="A250" t="s">
        <v>589</v>
      </c>
      <c r="B250" t="s">
        <v>386</v>
      </c>
      <c r="C250" t="str">
        <f>_xlfn.TEXTJOIN(",",TRUE, Employee[[#This Row],[Last Name]], Employee[[#This Row],[First Name]])</f>
        <v>Melton, Scott</v>
      </c>
      <c r="D250" t="s">
        <v>137</v>
      </c>
      <c r="E250" t="s">
        <v>484</v>
      </c>
      <c r="F250" s="61">
        <v>37016</v>
      </c>
      <c r="G250">
        <v>16</v>
      </c>
      <c r="H250" t="s">
        <v>152</v>
      </c>
      <c r="I250" s="62">
        <v>91384</v>
      </c>
      <c r="J250">
        <v>5</v>
      </c>
    </row>
    <row r="251" spans="1:10" x14ac:dyDescent="0.25">
      <c r="A251" t="s">
        <v>590</v>
      </c>
      <c r="B251" t="s">
        <v>591</v>
      </c>
      <c r="C251" t="str">
        <f>_xlfn.TEXTJOIN(",",TRUE, Employee[[#This Row],[Last Name]], Employee[[#This Row],[First Name]])</f>
        <v>Pittman, Bacardi</v>
      </c>
      <c r="D251" t="s">
        <v>178</v>
      </c>
      <c r="E251" t="s">
        <v>484</v>
      </c>
      <c r="F251" s="61">
        <v>37361</v>
      </c>
      <c r="G251">
        <v>15</v>
      </c>
      <c r="H251" t="s">
        <v>145</v>
      </c>
      <c r="I251" s="62">
        <v>121377</v>
      </c>
      <c r="J251">
        <v>5</v>
      </c>
    </row>
    <row r="252" spans="1:10" x14ac:dyDescent="0.25">
      <c r="A252" t="s">
        <v>592</v>
      </c>
      <c r="B252" t="s">
        <v>532</v>
      </c>
      <c r="C252" t="str">
        <f>_xlfn.TEXTJOIN(",",TRUE, Employee[[#This Row],[Last Name]], Employee[[#This Row],[First Name]])</f>
        <v>Hurst, Thomas</v>
      </c>
      <c r="D252" t="s">
        <v>161</v>
      </c>
      <c r="E252" t="s">
        <v>484</v>
      </c>
      <c r="F252" s="61">
        <v>37383</v>
      </c>
      <c r="G252">
        <v>15</v>
      </c>
      <c r="H252" t="s">
        <v>145</v>
      </c>
      <c r="I252" s="62">
        <v>117432</v>
      </c>
      <c r="J252">
        <v>4</v>
      </c>
    </row>
    <row r="253" spans="1:10" x14ac:dyDescent="0.25">
      <c r="A253" t="s">
        <v>593</v>
      </c>
      <c r="B253" t="s">
        <v>594</v>
      </c>
      <c r="C253" t="str">
        <f>_xlfn.TEXTJOIN(",",TRUE, Employee[[#This Row],[Last Name]], Employee[[#This Row],[First Name]])</f>
        <v>Colon, Donnie</v>
      </c>
      <c r="D253" t="s">
        <v>155</v>
      </c>
      <c r="E253" t="s">
        <v>484</v>
      </c>
      <c r="F253" s="61">
        <v>38472</v>
      </c>
      <c r="G253">
        <v>12</v>
      </c>
      <c r="H253" t="s">
        <v>139</v>
      </c>
      <c r="I253" s="62">
        <v>104621</v>
      </c>
      <c r="J253">
        <v>3</v>
      </c>
    </row>
    <row r="254" spans="1:10" hidden="1" x14ac:dyDescent="0.25">
      <c r="A254" t="s">
        <v>595</v>
      </c>
      <c r="B254" t="s">
        <v>596</v>
      </c>
      <c r="C254" t="str">
        <f>_xlfn.TEXTJOIN(",",TRUE, Employee[[#This Row],[Last Name]], Employee[[#This Row],[First Name]])</f>
        <v>Williamson, Sumed</v>
      </c>
      <c r="D254" t="s">
        <v>161</v>
      </c>
      <c r="E254" t="s">
        <v>484</v>
      </c>
      <c r="F254" s="61">
        <v>41758</v>
      </c>
      <c r="G254">
        <v>3</v>
      </c>
      <c r="H254" t="s">
        <v>145</v>
      </c>
      <c r="I254" s="62">
        <v>85202</v>
      </c>
      <c r="J254">
        <v>3</v>
      </c>
    </row>
    <row r="255" spans="1:10" hidden="1" x14ac:dyDescent="0.25">
      <c r="A255" t="s">
        <v>597</v>
      </c>
      <c r="B255" t="s">
        <v>405</v>
      </c>
      <c r="C255" t="str">
        <f>_xlfn.TEXTJOIN(",",TRUE, Employee[[#This Row],[Last Name]], Employee[[#This Row],[First Name]])</f>
        <v>English, David</v>
      </c>
      <c r="D255" t="s">
        <v>155</v>
      </c>
      <c r="E255" t="s">
        <v>484</v>
      </c>
      <c r="F255" s="61">
        <v>42157</v>
      </c>
      <c r="G255">
        <v>2</v>
      </c>
      <c r="H255" t="s">
        <v>145</v>
      </c>
      <c r="I255" s="62">
        <v>42102</v>
      </c>
      <c r="J255">
        <v>3</v>
      </c>
    </row>
    <row r="256" spans="1:10" hidden="1" x14ac:dyDescent="0.25">
      <c r="A256" t="s">
        <v>598</v>
      </c>
      <c r="B256" t="s">
        <v>434</v>
      </c>
      <c r="C256" t="str">
        <f>_xlfn.TEXTJOIN(",",TRUE, Employee[[#This Row],[Last Name]], Employee[[#This Row],[First Name]])</f>
        <v>Combs, Rick</v>
      </c>
      <c r="D256" t="s">
        <v>161</v>
      </c>
      <c r="E256" t="s">
        <v>484</v>
      </c>
      <c r="F256" s="61">
        <v>40340</v>
      </c>
      <c r="G256">
        <v>7</v>
      </c>
      <c r="H256" t="s">
        <v>145</v>
      </c>
      <c r="I256" s="62">
        <v>66624</v>
      </c>
      <c r="J256">
        <v>5</v>
      </c>
    </row>
    <row r="257" spans="1:10" hidden="1" x14ac:dyDescent="0.25">
      <c r="A257" t="s">
        <v>599</v>
      </c>
      <c r="B257" t="s">
        <v>600</v>
      </c>
      <c r="C257" t="str">
        <f>_xlfn.TEXTJOIN(",",TRUE, Employee[[#This Row],[Last Name]], Employee[[#This Row],[First Name]])</f>
        <v>Osborne, Bill</v>
      </c>
      <c r="D257" t="s">
        <v>161</v>
      </c>
      <c r="E257" t="s">
        <v>484</v>
      </c>
      <c r="F257" s="61">
        <v>39954</v>
      </c>
      <c r="G257">
        <v>8</v>
      </c>
      <c r="H257" t="s">
        <v>139</v>
      </c>
      <c r="I257" s="62">
        <v>64887</v>
      </c>
      <c r="J257">
        <v>1</v>
      </c>
    </row>
    <row r="258" spans="1:10" hidden="1" x14ac:dyDescent="0.25">
      <c r="A258" t="s">
        <v>601</v>
      </c>
      <c r="B258" t="s">
        <v>170</v>
      </c>
      <c r="C258" t="str">
        <f>_xlfn.TEXTJOIN(",",TRUE, Employee[[#This Row],[Last Name]], Employee[[#This Row],[First Name]])</f>
        <v>Sanders, Troy</v>
      </c>
      <c r="D258" t="s">
        <v>148</v>
      </c>
      <c r="E258" t="s">
        <v>484</v>
      </c>
      <c r="F258" s="61">
        <v>39956</v>
      </c>
      <c r="G258">
        <v>8</v>
      </c>
      <c r="H258" t="s">
        <v>185</v>
      </c>
      <c r="I258" s="62">
        <v>44751</v>
      </c>
      <c r="J258">
        <v>2</v>
      </c>
    </row>
    <row r="259" spans="1:10" x14ac:dyDescent="0.25">
      <c r="A259" t="s">
        <v>602</v>
      </c>
      <c r="B259" t="s">
        <v>603</v>
      </c>
      <c r="C259" t="str">
        <f>_xlfn.TEXTJOIN(",",TRUE, Employee[[#This Row],[Last Name]], Employee[[#This Row],[First Name]])</f>
        <v>Bradford, Raymond</v>
      </c>
      <c r="D259" t="s">
        <v>155</v>
      </c>
      <c r="E259" t="s">
        <v>484</v>
      </c>
      <c r="F259" s="61">
        <v>37050</v>
      </c>
      <c r="G259">
        <v>16</v>
      </c>
      <c r="H259" t="s">
        <v>145</v>
      </c>
      <c r="I259" s="62">
        <v>42470</v>
      </c>
      <c r="J259">
        <v>5</v>
      </c>
    </row>
    <row r="260" spans="1:10" x14ac:dyDescent="0.25">
      <c r="A260" t="s">
        <v>604</v>
      </c>
      <c r="B260" t="s">
        <v>291</v>
      </c>
      <c r="C260" t="str">
        <f>_xlfn.TEXTJOIN(",",TRUE, Employee[[#This Row],[Last Name]], Employee[[#This Row],[First Name]])</f>
        <v>Sullivan, Robert</v>
      </c>
      <c r="D260" t="s">
        <v>155</v>
      </c>
      <c r="E260" t="s">
        <v>484</v>
      </c>
      <c r="F260" s="61">
        <v>37396</v>
      </c>
      <c r="G260">
        <v>15</v>
      </c>
      <c r="H260" t="s">
        <v>185</v>
      </c>
      <c r="I260" s="62">
        <v>90126</v>
      </c>
      <c r="J260">
        <v>1</v>
      </c>
    </row>
    <row r="261" spans="1:10" x14ac:dyDescent="0.25">
      <c r="A261" t="s">
        <v>605</v>
      </c>
      <c r="B261" t="s">
        <v>606</v>
      </c>
      <c r="C261" t="str">
        <f>_xlfn.TEXTJOIN(",",TRUE, Employee[[#This Row],[Last Name]], Employee[[#This Row],[First Name]])</f>
        <v>Barber, Robbie</v>
      </c>
      <c r="D261" t="s">
        <v>155</v>
      </c>
      <c r="E261" t="s">
        <v>484</v>
      </c>
      <c r="F261" s="61">
        <v>37410</v>
      </c>
      <c r="G261">
        <v>15</v>
      </c>
      <c r="H261" t="s">
        <v>152</v>
      </c>
      <c r="I261" s="62">
        <v>47765</v>
      </c>
      <c r="J261">
        <v>2</v>
      </c>
    </row>
    <row r="262" spans="1:10" x14ac:dyDescent="0.25">
      <c r="A262" t="s">
        <v>607</v>
      </c>
      <c r="B262" t="s">
        <v>608</v>
      </c>
      <c r="C262" t="str">
        <f>_xlfn.TEXTJOIN(",",TRUE, Employee[[#This Row],[Last Name]], Employee[[#This Row],[First Name]])</f>
        <v>Humphrey, Andrew</v>
      </c>
      <c r="D262" t="s">
        <v>137</v>
      </c>
      <c r="E262" t="s">
        <v>484</v>
      </c>
      <c r="F262" s="61">
        <v>37776</v>
      </c>
      <c r="G262">
        <v>14</v>
      </c>
      <c r="H262" t="s">
        <v>152</v>
      </c>
      <c r="I262" s="62">
        <v>65500</v>
      </c>
      <c r="J262">
        <v>1</v>
      </c>
    </row>
    <row r="263" spans="1:10" x14ac:dyDescent="0.25">
      <c r="A263" t="s">
        <v>609</v>
      </c>
      <c r="B263" t="s">
        <v>269</v>
      </c>
      <c r="C263" t="str">
        <f>_xlfn.TEXTJOIN(",",TRUE, Employee[[#This Row],[Last Name]], Employee[[#This Row],[First Name]])</f>
        <v>Browning, Kathleen</v>
      </c>
      <c r="D263" t="s">
        <v>178</v>
      </c>
      <c r="E263" t="s">
        <v>484</v>
      </c>
      <c r="F263" s="61">
        <v>37782</v>
      </c>
      <c r="G263">
        <v>14</v>
      </c>
      <c r="H263" t="s">
        <v>145</v>
      </c>
      <c r="I263" s="62">
        <v>42664</v>
      </c>
      <c r="J263">
        <v>3</v>
      </c>
    </row>
    <row r="264" spans="1:10" x14ac:dyDescent="0.25">
      <c r="A264" t="s">
        <v>610</v>
      </c>
      <c r="B264" t="s">
        <v>611</v>
      </c>
      <c r="C264" t="str">
        <f>_xlfn.TEXTJOIN(",",TRUE, Employee[[#This Row],[Last Name]], Employee[[#This Row],[First Name]])</f>
        <v>Whitaker, Jessica</v>
      </c>
      <c r="D264" t="s">
        <v>155</v>
      </c>
      <c r="E264" t="s">
        <v>484</v>
      </c>
      <c r="F264" s="61">
        <v>37785</v>
      </c>
      <c r="G264">
        <v>14</v>
      </c>
      <c r="H264" t="s">
        <v>168</v>
      </c>
      <c r="I264" s="62">
        <v>97758</v>
      </c>
      <c r="J264">
        <v>2</v>
      </c>
    </row>
    <row r="265" spans="1:10" x14ac:dyDescent="0.25">
      <c r="A265" t="s">
        <v>612</v>
      </c>
      <c r="B265" t="s">
        <v>613</v>
      </c>
      <c r="C265" t="str">
        <f>_xlfn.TEXTJOIN(",",TRUE, Employee[[#This Row],[Last Name]], Employee[[#This Row],[First Name]])</f>
        <v>Bates, Verna</v>
      </c>
      <c r="D265" t="s">
        <v>155</v>
      </c>
      <c r="E265" t="s">
        <v>484</v>
      </c>
      <c r="F265" s="61">
        <v>38146</v>
      </c>
      <c r="G265">
        <v>13</v>
      </c>
      <c r="H265" t="s">
        <v>142</v>
      </c>
      <c r="I265" s="62">
        <v>88858</v>
      </c>
      <c r="J265">
        <v>5</v>
      </c>
    </row>
    <row r="266" spans="1:10" x14ac:dyDescent="0.25">
      <c r="A266" t="s">
        <v>614</v>
      </c>
      <c r="B266" t="s">
        <v>315</v>
      </c>
      <c r="C266" t="str">
        <f>_xlfn.TEXTJOIN(",",TRUE, Employee[[#This Row],[Last Name]], Employee[[#This Row],[First Name]])</f>
        <v>Little, Steve</v>
      </c>
      <c r="D266" t="s">
        <v>161</v>
      </c>
      <c r="E266" t="s">
        <v>484</v>
      </c>
      <c r="F266" s="61">
        <v>38514</v>
      </c>
      <c r="G266">
        <v>12</v>
      </c>
      <c r="H266" t="s">
        <v>152</v>
      </c>
      <c r="I266" s="62">
        <v>92324</v>
      </c>
      <c r="J266">
        <v>1</v>
      </c>
    </row>
    <row r="267" spans="1:10" x14ac:dyDescent="0.25">
      <c r="A267" t="s">
        <v>615</v>
      </c>
      <c r="B267" t="s">
        <v>616</v>
      </c>
      <c r="C267" t="str">
        <f>_xlfn.TEXTJOIN(",",TRUE, Employee[[#This Row],[Last Name]], Employee[[#This Row],[First Name]])</f>
        <v>Velasquez, Clint</v>
      </c>
      <c r="D267" t="s">
        <v>137</v>
      </c>
      <c r="E267" t="s">
        <v>484</v>
      </c>
      <c r="F267" s="61">
        <v>39224</v>
      </c>
      <c r="G267">
        <v>10</v>
      </c>
      <c r="H267" t="s">
        <v>139</v>
      </c>
      <c r="I267" s="62">
        <v>102792</v>
      </c>
      <c r="J267">
        <v>2</v>
      </c>
    </row>
    <row r="268" spans="1:10" hidden="1" x14ac:dyDescent="0.25">
      <c r="A268" t="s">
        <v>617</v>
      </c>
      <c r="B268" t="s">
        <v>618</v>
      </c>
      <c r="C268" t="str">
        <f>_xlfn.TEXTJOIN(",",TRUE, Employee[[#This Row],[Last Name]], Employee[[#This Row],[First Name]])</f>
        <v>Ryan, Ryan</v>
      </c>
      <c r="D268" t="s">
        <v>155</v>
      </c>
      <c r="E268" t="s">
        <v>484</v>
      </c>
      <c r="F268" s="61">
        <v>40681</v>
      </c>
      <c r="G268">
        <v>6</v>
      </c>
      <c r="H268" t="s">
        <v>145</v>
      </c>
      <c r="I268" s="62">
        <v>69142</v>
      </c>
      <c r="J268">
        <v>2</v>
      </c>
    </row>
    <row r="269" spans="1:10" hidden="1" x14ac:dyDescent="0.25">
      <c r="A269" t="s">
        <v>619</v>
      </c>
      <c r="B269" t="s">
        <v>258</v>
      </c>
      <c r="C269" t="str">
        <f>_xlfn.TEXTJOIN(",",TRUE, Employee[[#This Row],[Last Name]], Employee[[#This Row],[First Name]])</f>
        <v>House, Paul</v>
      </c>
      <c r="D269" t="s">
        <v>178</v>
      </c>
      <c r="E269" t="s">
        <v>484</v>
      </c>
      <c r="F269" s="61">
        <v>39952</v>
      </c>
      <c r="G269">
        <v>8</v>
      </c>
      <c r="H269" t="s">
        <v>145</v>
      </c>
      <c r="I269" s="62">
        <v>95292</v>
      </c>
      <c r="J269">
        <v>4</v>
      </c>
    </row>
    <row r="270" spans="1:10" hidden="1" x14ac:dyDescent="0.25">
      <c r="A270" t="s">
        <v>620</v>
      </c>
      <c r="B270" t="s">
        <v>165</v>
      </c>
      <c r="C270" t="str">
        <f>_xlfn.TEXTJOIN(",",TRUE, Employee[[#This Row],[Last Name]], Employee[[#This Row],[First Name]])</f>
        <v>Petersen, Timothy</v>
      </c>
      <c r="D270" t="s">
        <v>178</v>
      </c>
      <c r="E270" t="s">
        <v>484</v>
      </c>
      <c r="F270" s="61">
        <v>41050</v>
      </c>
      <c r="G270">
        <v>5</v>
      </c>
      <c r="H270" t="s">
        <v>139</v>
      </c>
      <c r="I270" s="62">
        <v>65688</v>
      </c>
      <c r="J270">
        <v>5</v>
      </c>
    </row>
    <row r="271" spans="1:10" hidden="1" x14ac:dyDescent="0.25">
      <c r="A271" t="s">
        <v>621</v>
      </c>
      <c r="B271" t="s">
        <v>622</v>
      </c>
      <c r="C271" t="str">
        <f>_xlfn.TEXTJOIN(",",TRUE, Employee[[#This Row],[Last Name]], Employee[[#This Row],[First Name]])</f>
        <v>Hampton, Catherine</v>
      </c>
      <c r="D271" t="s">
        <v>161</v>
      </c>
      <c r="E271" t="s">
        <v>484</v>
      </c>
      <c r="F271" s="61">
        <v>40342</v>
      </c>
      <c r="G271">
        <v>7</v>
      </c>
      <c r="H271" t="s">
        <v>185</v>
      </c>
      <c r="I271" s="62">
        <v>87125</v>
      </c>
      <c r="J271">
        <v>2</v>
      </c>
    </row>
    <row r="272" spans="1:10" hidden="1" x14ac:dyDescent="0.25">
      <c r="A272" t="s">
        <v>623</v>
      </c>
      <c r="B272" t="s">
        <v>611</v>
      </c>
      <c r="C272" t="str">
        <f>_xlfn.TEXTJOIN(",",TRUE, Employee[[#This Row],[Last Name]], Employee[[#This Row],[First Name]])</f>
        <v>Miller, Jessica</v>
      </c>
      <c r="D272" t="s">
        <v>137</v>
      </c>
      <c r="E272" t="s">
        <v>484</v>
      </c>
      <c r="F272" s="61">
        <v>40354</v>
      </c>
      <c r="G272">
        <v>7</v>
      </c>
      <c r="H272" t="s">
        <v>142</v>
      </c>
      <c r="I272" s="62">
        <v>95877</v>
      </c>
      <c r="J272">
        <v>4</v>
      </c>
    </row>
    <row r="273" spans="1:10" hidden="1" x14ac:dyDescent="0.25">
      <c r="A273" t="s">
        <v>624</v>
      </c>
      <c r="B273" t="s">
        <v>193</v>
      </c>
      <c r="C273" t="str">
        <f>_xlfn.TEXTJOIN(",",TRUE, Employee[[#This Row],[Last Name]], Employee[[#This Row],[First Name]])</f>
        <v>McKee, Michelle</v>
      </c>
      <c r="D273" t="s">
        <v>178</v>
      </c>
      <c r="E273" t="s">
        <v>484</v>
      </c>
      <c r="F273" s="61">
        <v>40356</v>
      </c>
      <c r="G273">
        <v>7</v>
      </c>
      <c r="H273" t="s">
        <v>145</v>
      </c>
      <c r="I273" s="62">
        <v>104511</v>
      </c>
      <c r="J273">
        <v>1</v>
      </c>
    </row>
    <row r="274" spans="1:10" hidden="1" x14ac:dyDescent="0.25">
      <c r="A274" t="s">
        <v>625</v>
      </c>
      <c r="B274" t="s">
        <v>384</v>
      </c>
      <c r="C274" t="str">
        <f>_xlfn.TEXTJOIN(",",TRUE, Employee[[#This Row],[Last Name]], Employee[[#This Row],[First Name]])</f>
        <v>Barron, Michael</v>
      </c>
      <c r="D274" t="s">
        <v>137</v>
      </c>
      <c r="E274" t="s">
        <v>484</v>
      </c>
      <c r="F274" s="61">
        <v>40733</v>
      </c>
      <c r="G274">
        <v>6</v>
      </c>
      <c r="H274" t="s">
        <v>168</v>
      </c>
      <c r="I274" s="62">
        <v>53431</v>
      </c>
      <c r="J274">
        <v>3</v>
      </c>
    </row>
    <row r="275" spans="1:10" hidden="1" x14ac:dyDescent="0.25">
      <c r="A275" t="s">
        <v>626</v>
      </c>
      <c r="B275" t="s">
        <v>627</v>
      </c>
      <c r="C275" t="str">
        <f>_xlfn.TEXTJOIN(",",TRUE, Employee[[#This Row],[Last Name]], Employee[[#This Row],[First Name]])</f>
        <v>Summers, Harold</v>
      </c>
      <c r="D275" t="s">
        <v>155</v>
      </c>
      <c r="E275" t="s">
        <v>484</v>
      </c>
      <c r="F275" s="61">
        <v>40342</v>
      </c>
      <c r="G275">
        <v>7</v>
      </c>
      <c r="H275" t="s">
        <v>142</v>
      </c>
      <c r="I275" s="62">
        <v>54633</v>
      </c>
      <c r="J275">
        <v>1</v>
      </c>
    </row>
    <row r="276" spans="1:10" x14ac:dyDescent="0.25">
      <c r="A276" t="s">
        <v>628</v>
      </c>
      <c r="B276" t="s">
        <v>339</v>
      </c>
      <c r="C276" t="str">
        <f>_xlfn.TEXTJOIN(",",TRUE, Employee[[#This Row],[Last Name]], Employee[[#This Row],[First Name]])</f>
        <v>Atkins, Kevin</v>
      </c>
      <c r="D276" t="s">
        <v>155</v>
      </c>
      <c r="E276" t="s">
        <v>484</v>
      </c>
      <c r="F276" s="61">
        <v>37060</v>
      </c>
      <c r="G276">
        <v>16</v>
      </c>
      <c r="H276" t="s">
        <v>145</v>
      </c>
      <c r="I276" s="62">
        <v>62423</v>
      </c>
      <c r="J276">
        <v>3</v>
      </c>
    </row>
    <row r="277" spans="1:10" x14ac:dyDescent="0.25">
      <c r="A277" t="s">
        <v>629</v>
      </c>
      <c r="B277" t="s">
        <v>481</v>
      </c>
      <c r="C277" t="str">
        <f>_xlfn.TEXTJOIN(",",TRUE, Employee[[#This Row],[Last Name]], Employee[[#This Row],[First Name]])</f>
        <v>Chambers, Richard</v>
      </c>
      <c r="D277" t="s">
        <v>161</v>
      </c>
      <c r="E277" t="s">
        <v>484</v>
      </c>
      <c r="F277" s="61">
        <v>37070</v>
      </c>
      <c r="G277">
        <v>16</v>
      </c>
      <c r="H277" t="s">
        <v>145</v>
      </c>
      <c r="I277" s="62">
        <v>107924</v>
      </c>
      <c r="J277">
        <v>5</v>
      </c>
    </row>
    <row r="278" spans="1:10" x14ac:dyDescent="0.25">
      <c r="A278" t="s">
        <v>630</v>
      </c>
      <c r="B278" t="s">
        <v>631</v>
      </c>
      <c r="C278" t="str">
        <f>_xlfn.TEXTJOIN(",",TRUE, Employee[[#This Row],[Last Name]], Employee[[#This Row],[First Name]])</f>
        <v>Jacobs, Florianne</v>
      </c>
      <c r="D278" t="s">
        <v>161</v>
      </c>
      <c r="E278" t="s">
        <v>484</v>
      </c>
      <c r="F278" s="61">
        <v>37074</v>
      </c>
      <c r="G278">
        <v>16</v>
      </c>
      <c r="H278" t="s">
        <v>139</v>
      </c>
      <c r="I278" s="62">
        <v>50610</v>
      </c>
      <c r="J278">
        <v>2</v>
      </c>
    </row>
    <row r="279" spans="1:10" x14ac:dyDescent="0.25">
      <c r="A279" t="s">
        <v>632</v>
      </c>
      <c r="B279" t="s">
        <v>323</v>
      </c>
      <c r="C279" t="str">
        <f>_xlfn.TEXTJOIN(",",TRUE, Employee[[#This Row],[Last Name]], Employee[[#This Row],[First Name]])</f>
        <v>Wilkinson, Gregory</v>
      </c>
      <c r="D279" t="s">
        <v>155</v>
      </c>
      <c r="E279" t="s">
        <v>484</v>
      </c>
      <c r="F279" s="61">
        <v>37075</v>
      </c>
      <c r="G279">
        <v>16</v>
      </c>
      <c r="H279" t="s">
        <v>145</v>
      </c>
      <c r="I279" s="62">
        <v>85065</v>
      </c>
      <c r="J279">
        <v>3</v>
      </c>
    </row>
    <row r="280" spans="1:10" x14ac:dyDescent="0.25">
      <c r="A280" t="s">
        <v>633</v>
      </c>
      <c r="B280" t="s">
        <v>634</v>
      </c>
      <c r="C280" t="str">
        <f>_xlfn.TEXTJOIN(",",TRUE, Employee[[#This Row],[Last Name]], Employee[[#This Row],[First Name]])</f>
        <v>Pearson, Cassy</v>
      </c>
      <c r="D280" t="s">
        <v>151</v>
      </c>
      <c r="E280" t="s">
        <v>484</v>
      </c>
      <c r="F280" s="61">
        <v>37428</v>
      </c>
      <c r="G280">
        <v>15</v>
      </c>
      <c r="H280" t="s">
        <v>145</v>
      </c>
      <c r="I280" s="62">
        <v>58262</v>
      </c>
      <c r="J280">
        <v>3</v>
      </c>
    </row>
    <row r="281" spans="1:10" x14ac:dyDescent="0.25">
      <c r="A281" t="s">
        <v>635</v>
      </c>
      <c r="B281" t="s">
        <v>567</v>
      </c>
      <c r="C281" t="str">
        <f>_xlfn.TEXTJOIN(",",TRUE, Employee[[#This Row],[Last Name]], Employee[[#This Row],[First Name]])</f>
        <v>Moran, Carol</v>
      </c>
      <c r="D281" t="s">
        <v>155</v>
      </c>
      <c r="E281" t="s">
        <v>484</v>
      </c>
      <c r="F281" s="61">
        <v>37438</v>
      </c>
      <c r="G281">
        <v>15</v>
      </c>
      <c r="H281" t="s">
        <v>185</v>
      </c>
      <c r="I281" s="62">
        <v>100359</v>
      </c>
      <c r="J281">
        <v>1</v>
      </c>
    </row>
    <row r="282" spans="1:10" x14ac:dyDescent="0.25">
      <c r="A282" t="s">
        <v>636</v>
      </c>
      <c r="B282" t="s">
        <v>637</v>
      </c>
      <c r="C282" t="str">
        <f>_xlfn.TEXTJOIN(",",TRUE, Employee[[#This Row],[Last Name]], Employee[[#This Row],[First Name]])</f>
        <v>Huffman, Ignacio</v>
      </c>
      <c r="D282" t="s">
        <v>155</v>
      </c>
      <c r="E282" t="s">
        <v>484</v>
      </c>
      <c r="F282" s="61">
        <v>37796</v>
      </c>
      <c r="G282">
        <v>14</v>
      </c>
      <c r="H282" t="s">
        <v>145</v>
      </c>
      <c r="I282" s="62">
        <v>108890</v>
      </c>
      <c r="J282">
        <v>5</v>
      </c>
    </row>
    <row r="283" spans="1:10" x14ac:dyDescent="0.25">
      <c r="A283" t="s">
        <v>638</v>
      </c>
      <c r="B283" t="s">
        <v>639</v>
      </c>
      <c r="C283" t="str">
        <f>_xlfn.TEXTJOIN(",",TRUE, Employee[[#This Row],[Last Name]], Employee[[#This Row],[First Name]])</f>
        <v>Marshall, Anita</v>
      </c>
      <c r="D283" t="s">
        <v>155</v>
      </c>
      <c r="E283" t="s">
        <v>484</v>
      </c>
      <c r="F283" s="61">
        <v>37807</v>
      </c>
      <c r="G283">
        <v>14</v>
      </c>
      <c r="H283" t="s">
        <v>145</v>
      </c>
      <c r="I283" s="62">
        <v>51441</v>
      </c>
      <c r="J283">
        <v>1</v>
      </c>
    </row>
    <row r="284" spans="1:10" x14ac:dyDescent="0.25">
      <c r="A284" t="s">
        <v>640</v>
      </c>
      <c r="B284" t="s">
        <v>525</v>
      </c>
      <c r="C284" t="str">
        <f>_xlfn.TEXTJOIN(",",TRUE, Employee[[#This Row],[Last Name]], Employee[[#This Row],[First Name]])</f>
        <v>Clay, William</v>
      </c>
      <c r="D284" t="s">
        <v>151</v>
      </c>
      <c r="E284" t="s">
        <v>484</v>
      </c>
      <c r="F284" s="61">
        <v>38898</v>
      </c>
      <c r="G284">
        <v>11</v>
      </c>
      <c r="H284" t="s">
        <v>145</v>
      </c>
      <c r="I284" s="62">
        <v>43570</v>
      </c>
      <c r="J284">
        <v>1</v>
      </c>
    </row>
    <row r="285" spans="1:10" hidden="1" x14ac:dyDescent="0.25">
      <c r="A285" t="s">
        <v>641</v>
      </c>
      <c r="B285" t="s">
        <v>384</v>
      </c>
      <c r="C285" t="str">
        <f>_xlfn.TEXTJOIN(",",TRUE, Employee[[#This Row],[Last Name]], Employee[[#This Row],[First Name]])</f>
        <v>Collins, Michael</v>
      </c>
      <c r="D285" t="s">
        <v>137</v>
      </c>
      <c r="E285" t="s">
        <v>484</v>
      </c>
      <c r="F285" s="61">
        <v>40711</v>
      </c>
      <c r="G285">
        <v>6</v>
      </c>
      <c r="H285" t="s">
        <v>145</v>
      </c>
      <c r="I285" s="62">
        <v>121090</v>
      </c>
      <c r="J285">
        <v>1</v>
      </c>
    </row>
    <row r="286" spans="1:10" hidden="1" x14ac:dyDescent="0.25">
      <c r="A286" t="s">
        <v>642</v>
      </c>
      <c r="B286" t="s">
        <v>320</v>
      </c>
      <c r="C286" t="str">
        <f>_xlfn.TEXTJOIN(",",TRUE, Employee[[#This Row],[Last Name]], Employee[[#This Row],[First Name]])</f>
        <v>Elliott, Anthony</v>
      </c>
      <c r="D286" t="s">
        <v>148</v>
      </c>
      <c r="E286" t="s">
        <v>484</v>
      </c>
      <c r="F286" s="61">
        <v>39990</v>
      </c>
      <c r="G286">
        <v>8</v>
      </c>
      <c r="H286" t="s">
        <v>145</v>
      </c>
      <c r="I286" s="62">
        <v>54395</v>
      </c>
      <c r="J286">
        <v>4</v>
      </c>
    </row>
    <row r="287" spans="1:10" hidden="1" x14ac:dyDescent="0.25">
      <c r="A287" t="s">
        <v>643</v>
      </c>
      <c r="B287" t="s">
        <v>644</v>
      </c>
      <c r="C287" t="str">
        <f>_xlfn.TEXTJOIN(",",TRUE, Employee[[#This Row],[Last Name]], Employee[[#This Row],[First Name]])</f>
        <v>Mitchell, Shannon</v>
      </c>
      <c r="D287" t="s">
        <v>161</v>
      </c>
      <c r="E287" t="s">
        <v>484</v>
      </c>
      <c r="F287" s="61">
        <v>42202</v>
      </c>
      <c r="G287">
        <v>2</v>
      </c>
      <c r="H287" t="s">
        <v>145</v>
      </c>
      <c r="I287" s="62">
        <v>102154</v>
      </c>
      <c r="J287">
        <v>2</v>
      </c>
    </row>
    <row r="288" spans="1:10" x14ac:dyDescent="0.25">
      <c r="A288" t="s">
        <v>645</v>
      </c>
      <c r="B288" t="s">
        <v>646</v>
      </c>
      <c r="C288" t="str">
        <f>_xlfn.TEXTJOIN(",",TRUE, Employee[[#This Row],[Last Name]], Employee[[#This Row],[First Name]])</f>
        <v>Stafford, Rhonda</v>
      </c>
      <c r="D288" t="s">
        <v>161</v>
      </c>
      <c r="E288" t="s">
        <v>484</v>
      </c>
      <c r="F288" s="61">
        <v>37087</v>
      </c>
      <c r="G288">
        <v>16</v>
      </c>
      <c r="H288" t="s">
        <v>139</v>
      </c>
      <c r="I288" s="62">
        <v>61049</v>
      </c>
      <c r="J288">
        <v>5</v>
      </c>
    </row>
    <row r="289" spans="1:10" x14ac:dyDescent="0.25">
      <c r="A289" t="s">
        <v>647</v>
      </c>
      <c r="B289" t="s">
        <v>648</v>
      </c>
      <c r="C289" t="str">
        <f>_xlfn.TEXTJOIN(",",TRUE, Employee[[#This Row],[Last Name]], Employee[[#This Row],[First Name]])</f>
        <v>Parker, Carl</v>
      </c>
      <c r="D289" t="s">
        <v>178</v>
      </c>
      <c r="E289" t="s">
        <v>484</v>
      </c>
      <c r="F289" s="61">
        <v>37089</v>
      </c>
      <c r="G289">
        <v>16</v>
      </c>
      <c r="H289" t="s">
        <v>145</v>
      </c>
      <c r="I289" s="62">
        <v>72877</v>
      </c>
      <c r="J289">
        <v>1</v>
      </c>
    </row>
    <row r="290" spans="1:10" hidden="1" x14ac:dyDescent="0.25">
      <c r="A290" t="s">
        <v>649</v>
      </c>
      <c r="B290" t="s">
        <v>650</v>
      </c>
      <c r="C290" t="str">
        <f>_xlfn.TEXTJOIN(",",TRUE, Employee[[#This Row],[Last Name]], Employee[[#This Row],[First Name]])</f>
        <v>Kemp, Holly</v>
      </c>
      <c r="D290" t="s">
        <v>151</v>
      </c>
      <c r="E290" t="s">
        <v>484</v>
      </c>
      <c r="F290" s="61">
        <v>40390</v>
      </c>
      <c r="G290">
        <v>7</v>
      </c>
      <c r="H290" t="s">
        <v>142</v>
      </c>
      <c r="I290" s="62">
        <v>86051</v>
      </c>
      <c r="J290">
        <v>3</v>
      </c>
    </row>
    <row r="291" spans="1:10" hidden="1" x14ac:dyDescent="0.25">
      <c r="A291" t="s">
        <v>651</v>
      </c>
      <c r="B291" t="s">
        <v>481</v>
      </c>
      <c r="C291" t="str">
        <f>_xlfn.TEXTJOIN(",",TRUE, Employee[[#This Row],[Last Name]], Employee[[#This Row],[First Name]])</f>
        <v>Richards, Richard</v>
      </c>
      <c r="D291" t="s">
        <v>148</v>
      </c>
      <c r="E291" t="s">
        <v>484</v>
      </c>
      <c r="F291" s="61">
        <v>40775</v>
      </c>
      <c r="G291">
        <v>6</v>
      </c>
      <c r="H291" t="s">
        <v>142</v>
      </c>
      <c r="I291" s="62">
        <v>113335</v>
      </c>
      <c r="J291">
        <v>2</v>
      </c>
    </row>
    <row r="292" spans="1:10" hidden="1" x14ac:dyDescent="0.25">
      <c r="A292" t="s">
        <v>652</v>
      </c>
      <c r="B292" t="s">
        <v>653</v>
      </c>
      <c r="C292" t="str">
        <f>_xlfn.TEXTJOIN(",",TRUE, Employee[[#This Row],[Last Name]], Employee[[#This Row],[First Name]])</f>
        <v>Mendez, Max</v>
      </c>
      <c r="D292" t="s">
        <v>155</v>
      </c>
      <c r="E292" t="s">
        <v>484</v>
      </c>
      <c r="F292" s="61">
        <v>40432</v>
      </c>
      <c r="G292">
        <v>7</v>
      </c>
      <c r="H292" t="s">
        <v>185</v>
      </c>
      <c r="I292" s="62">
        <v>55767</v>
      </c>
      <c r="J292">
        <v>4</v>
      </c>
    </row>
    <row r="293" spans="1:10" hidden="1" x14ac:dyDescent="0.25">
      <c r="A293" t="s">
        <v>654</v>
      </c>
      <c r="B293" t="s">
        <v>655</v>
      </c>
      <c r="C293" t="str">
        <f>_xlfn.TEXTJOIN(",",TRUE, Employee[[#This Row],[Last Name]], Employee[[#This Row],[First Name]])</f>
        <v>Brock, Ensley</v>
      </c>
      <c r="D293" t="s">
        <v>148</v>
      </c>
      <c r="E293" t="s">
        <v>484</v>
      </c>
      <c r="F293" s="61">
        <v>41502</v>
      </c>
      <c r="G293">
        <v>4</v>
      </c>
      <c r="H293" t="s">
        <v>152</v>
      </c>
      <c r="I293" s="62">
        <v>56149</v>
      </c>
      <c r="J293">
        <v>5</v>
      </c>
    </row>
    <row r="294" spans="1:10" hidden="1" x14ac:dyDescent="0.25">
      <c r="A294" t="s">
        <v>656</v>
      </c>
      <c r="B294" t="s">
        <v>657</v>
      </c>
      <c r="C294" t="str">
        <f>_xlfn.TEXTJOIN(",",TRUE, Employee[[#This Row],[Last Name]], Employee[[#This Row],[First Name]])</f>
        <v>Sloan, Cindy</v>
      </c>
      <c r="D294" t="s">
        <v>161</v>
      </c>
      <c r="E294" t="s">
        <v>484</v>
      </c>
      <c r="F294" s="61">
        <v>40060</v>
      </c>
      <c r="G294">
        <v>8</v>
      </c>
      <c r="H294" t="s">
        <v>139</v>
      </c>
      <c r="I294" s="62">
        <v>54973</v>
      </c>
      <c r="J294">
        <v>1</v>
      </c>
    </row>
    <row r="295" spans="1:10" hidden="1" x14ac:dyDescent="0.25">
      <c r="A295" t="s">
        <v>658</v>
      </c>
      <c r="B295" t="s">
        <v>659</v>
      </c>
      <c r="C295" t="str">
        <f>_xlfn.TEXTJOIN(",",TRUE, Employee[[#This Row],[Last Name]], Employee[[#This Row],[First Name]])</f>
        <v>Washington, Phillip</v>
      </c>
      <c r="D295" t="s">
        <v>155</v>
      </c>
      <c r="E295" t="s">
        <v>484</v>
      </c>
      <c r="F295" s="61">
        <v>40068</v>
      </c>
      <c r="G295">
        <v>8</v>
      </c>
      <c r="H295" t="s">
        <v>142</v>
      </c>
      <c r="I295" s="62">
        <v>119949</v>
      </c>
      <c r="J295">
        <v>2</v>
      </c>
    </row>
    <row r="296" spans="1:10" x14ac:dyDescent="0.25">
      <c r="A296" t="s">
        <v>660</v>
      </c>
      <c r="B296" t="s">
        <v>154</v>
      </c>
      <c r="C296" t="str">
        <f>_xlfn.TEXTJOIN(",",TRUE, Employee[[#This Row],[Last Name]], Employee[[#This Row],[First Name]])</f>
        <v>Pena, Erik</v>
      </c>
      <c r="D296" t="s">
        <v>178</v>
      </c>
      <c r="E296" t="s">
        <v>484</v>
      </c>
      <c r="F296" s="61">
        <v>37145</v>
      </c>
      <c r="G296">
        <v>16</v>
      </c>
      <c r="H296" t="s">
        <v>145</v>
      </c>
      <c r="I296" s="62">
        <v>49488</v>
      </c>
      <c r="J296">
        <v>4</v>
      </c>
    </row>
    <row r="297" spans="1:10" x14ac:dyDescent="0.25">
      <c r="A297" t="s">
        <v>661</v>
      </c>
      <c r="B297" t="s">
        <v>662</v>
      </c>
      <c r="C297" t="str">
        <f>_xlfn.TEXTJOIN(",",TRUE, Employee[[#This Row],[Last Name]], Employee[[#This Row],[First Name]])</f>
        <v>Finley, James</v>
      </c>
      <c r="D297" t="s">
        <v>178</v>
      </c>
      <c r="E297" t="s">
        <v>484</v>
      </c>
      <c r="F297" s="61">
        <v>37491</v>
      </c>
      <c r="G297">
        <v>15</v>
      </c>
      <c r="H297" t="s">
        <v>139</v>
      </c>
      <c r="I297" s="62">
        <v>43343</v>
      </c>
      <c r="J297">
        <v>3</v>
      </c>
    </row>
    <row r="298" spans="1:10" x14ac:dyDescent="0.25">
      <c r="A298" t="s">
        <v>663</v>
      </c>
      <c r="B298" t="s">
        <v>664</v>
      </c>
      <c r="C298" t="str">
        <f>_xlfn.TEXTJOIN(",",TRUE, Employee[[#This Row],[Last Name]], Employee[[#This Row],[First Name]])</f>
        <v>Payne, Vicky</v>
      </c>
      <c r="D298" t="s">
        <v>155</v>
      </c>
      <c r="E298" t="s">
        <v>484</v>
      </c>
      <c r="F298" s="61">
        <v>37500</v>
      </c>
      <c r="G298">
        <v>15</v>
      </c>
      <c r="H298" t="s">
        <v>185</v>
      </c>
      <c r="I298" s="62">
        <v>58134</v>
      </c>
      <c r="J298">
        <v>5</v>
      </c>
    </row>
    <row r="299" spans="1:10" x14ac:dyDescent="0.25">
      <c r="A299" t="s">
        <v>665</v>
      </c>
      <c r="B299" t="s">
        <v>429</v>
      </c>
      <c r="C299" t="str">
        <f>_xlfn.TEXTJOIN(",",TRUE, Employee[[#This Row],[Last Name]], Employee[[#This Row],[First Name]])</f>
        <v>McKinney, Chris</v>
      </c>
      <c r="D299" t="s">
        <v>155</v>
      </c>
      <c r="E299" t="s">
        <v>484</v>
      </c>
      <c r="F299" s="61">
        <v>37509</v>
      </c>
      <c r="G299">
        <v>15</v>
      </c>
      <c r="H299" t="s">
        <v>139</v>
      </c>
      <c r="I299" s="62">
        <v>55295</v>
      </c>
      <c r="J299">
        <v>2</v>
      </c>
    </row>
    <row r="300" spans="1:10" x14ac:dyDescent="0.25">
      <c r="A300" t="s">
        <v>666</v>
      </c>
      <c r="B300" t="s">
        <v>667</v>
      </c>
      <c r="C300" t="str">
        <f>_xlfn.TEXTJOIN(",",TRUE, Employee[[#This Row],[Last Name]], Employee[[#This Row],[First Name]])</f>
        <v>Snow, Desiree</v>
      </c>
      <c r="D300" t="s">
        <v>161</v>
      </c>
      <c r="E300" t="s">
        <v>484</v>
      </c>
      <c r="F300" s="61">
        <v>38587</v>
      </c>
      <c r="G300">
        <v>12</v>
      </c>
      <c r="H300" t="s">
        <v>185</v>
      </c>
      <c r="I300" s="62">
        <v>104197</v>
      </c>
      <c r="J300">
        <v>3</v>
      </c>
    </row>
    <row r="301" spans="1:10" x14ac:dyDescent="0.25">
      <c r="A301" t="s">
        <v>668</v>
      </c>
      <c r="B301" t="s">
        <v>472</v>
      </c>
      <c r="C301" t="str">
        <f>_xlfn.TEXTJOIN(",",TRUE, Employee[[#This Row],[Last Name]], Employee[[#This Row],[First Name]])</f>
        <v>Weaver, Eric</v>
      </c>
      <c r="D301" t="s">
        <v>155</v>
      </c>
      <c r="E301" t="s">
        <v>484</v>
      </c>
      <c r="F301" s="61">
        <v>38944</v>
      </c>
      <c r="G301">
        <v>11</v>
      </c>
      <c r="H301" t="s">
        <v>142</v>
      </c>
      <c r="I301" s="62">
        <v>46006</v>
      </c>
      <c r="J301">
        <v>5</v>
      </c>
    </row>
    <row r="302" spans="1:10" hidden="1" x14ac:dyDescent="0.25">
      <c r="A302" t="s">
        <v>669</v>
      </c>
      <c r="B302" t="s">
        <v>670</v>
      </c>
      <c r="C302" t="str">
        <f>_xlfn.TEXTJOIN(",",TRUE, Employee[[#This Row],[Last Name]], Employee[[#This Row],[First Name]])</f>
        <v>Drake, Kyle</v>
      </c>
      <c r="D302" t="s">
        <v>178</v>
      </c>
      <c r="E302" t="s">
        <v>484</v>
      </c>
      <c r="F302" s="61">
        <v>40426</v>
      </c>
      <c r="G302">
        <v>7</v>
      </c>
      <c r="H302" t="s">
        <v>139</v>
      </c>
      <c r="I302" s="62">
        <v>105667</v>
      </c>
      <c r="J302">
        <v>2</v>
      </c>
    </row>
    <row r="303" spans="1:10" hidden="1" x14ac:dyDescent="0.25">
      <c r="A303" t="s">
        <v>671</v>
      </c>
      <c r="B303" t="s">
        <v>405</v>
      </c>
      <c r="C303" t="str">
        <f>_xlfn.TEXTJOIN(",",TRUE, Employee[[#This Row],[Last Name]], Employee[[#This Row],[First Name]])</f>
        <v>Bradley, David</v>
      </c>
      <c r="D303" t="s">
        <v>161</v>
      </c>
      <c r="E303" t="s">
        <v>484</v>
      </c>
      <c r="F303" s="61">
        <v>40774</v>
      </c>
      <c r="G303">
        <v>6</v>
      </c>
      <c r="H303" t="s">
        <v>139</v>
      </c>
      <c r="I303" s="62">
        <v>50007</v>
      </c>
      <c r="J303">
        <v>3</v>
      </c>
    </row>
    <row r="304" spans="1:10" hidden="1" x14ac:dyDescent="0.25">
      <c r="A304" t="s">
        <v>672</v>
      </c>
      <c r="B304" t="s">
        <v>673</v>
      </c>
      <c r="C304" t="str">
        <f>_xlfn.TEXTJOIN(",",TRUE, Employee[[#This Row],[Last Name]], Employee[[#This Row],[First Name]])</f>
        <v>Trujillo, Shawn</v>
      </c>
      <c r="D304" t="s">
        <v>155</v>
      </c>
      <c r="E304" t="s">
        <v>484</v>
      </c>
      <c r="F304" s="61">
        <v>41527</v>
      </c>
      <c r="G304">
        <v>4</v>
      </c>
      <c r="H304" t="s">
        <v>145</v>
      </c>
      <c r="I304" s="62">
        <v>77016</v>
      </c>
      <c r="J304">
        <v>5</v>
      </c>
    </row>
    <row r="305" spans="1:10" hidden="1" x14ac:dyDescent="0.25">
      <c r="A305" t="s">
        <v>674</v>
      </c>
      <c r="B305" t="s">
        <v>405</v>
      </c>
      <c r="C305" t="str">
        <f>_xlfn.TEXTJOIN(",",TRUE, Employee[[#This Row],[Last Name]], Employee[[#This Row],[First Name]])</f>
        <v>Bell, David</v>
      </c>
      <c r="D305" t="s">
        <v>178</v>
      </c>
      <c r="E305" t="s">
        <v>484</v>
      </c>
      <c r="F305" s="61">
        <v>40456</v>
      </c>
      <c r="G305">
        <v>7</v>
      </c>
      <c r="H305" t="s">
        <v>145</v>
      </c>
      <c r="I305" s="62">
        <v>125134</v>
      </c>
      <c r="J305">
        <v>3</v>
      </c>
    </row>
    <row r="306" spans="1:10" hidden="1" x14ac:dyDescent="0.25">
      <c r="A306" t="s">
        <v>675</v>
      </c>
      <c r="B306" t="s">
        <v>147</v>
      </c>
      <c r="C306" t="str">
        <f>_xlfn.TEXTJOIN(",",TRUE, Employee[[#This Row],[Last Name]], Employee[[#This Row],[First Name]])</f>
        <v>Lyons, Brian</v>
      </c>
      <c r="D306" t="s">
        <v>148</v>
      </c>
      <c r="E306" t="s">
        <v>484</v>
      </c>
      <c r="F306" s="61">
        <v>41534</v>
      </c>
      <c r="G306">
        <v>4</v>
      </c>
      <c r="H306" t="s">
        <v>139</v>
      </c>
      <c r="I306" s="62">
        <v>65953</v>
      </c>
      <c r="J306">
        <v>5</v>
      </c>
    </row>
    <row r="307" spans="1:10" hidden="1" x14ac:dyDescent="0.25">
      <c r="A307" t="s">
        <v>676</v>
      </c>
      <c r="B307" t="s">
        <v>358</v>
      </c>
      <c r="C307" t="str">
        <f>_xlfn.TEXTJOIN(",",TRUE, Employee[[#This Row],[Last Name]], Employee[[#This Row],[First Name]])</f>
        <v>Ayers, Douglas</v>
      </c>
      <c r="D307" t="s">
        <v>161</v>
      </c>
      <c r="E307" t="s">
        <v>484</v>
      </c>
      <c r="F307" s="61">
        <v>41540</v>
      </c>
      <c r="G307">
        <v>4</v>
      </c>
      <c r="H307" t="s">
        <v>145</v>
      </c>
      <c r="I307" s="62">
        <v>84936</v>
      </c>
      <c r="J307">
        <v>4</v>
      </c>
    </row>
    <row r="308" spans="1:10" hidden="1" x14ac:dyDescent="0.25">
      <c r="A308" t="s">
        <v>677</v>
      </c>
      <c r="B308" t="s">
        <v>291</v>
      </c>
      <c r="C308" t="str">
        <f>_xlfn.TEXTJOIN(",",TRUE, Employee[[#This Row],[Last Name]], Employee[[#This Row],[First Name]])</f>
        <v>Peters, Robert</v>
      </c>
      <c r="D308" t="s">
        <v>161</v>
      </c>
      <c r="E308" t="s">
        <v>484</v>
      </c>
      <c r="F308" s="61">
        <v>41547</v>
      </c>
      <c r="G308">
        <v>4</v>
      </c>
      <c r="H308" t="s">
        <v>142</v>
      </c>
      <c r="I308" s="62">
        <v>42514</v>
      </c>
      <c r="J308">
        <v>4</v>
      </c>
    </row>
    <row r="309" spans="1:10" hidden="1" x14ac:dyDescent="0.25">
      <c r="A309" t="s">
        <v>678</v>
      </c>
      <c r="B309" t="s">
        <v>170</v>
      </c>
      <c r="C309" t="str">
        <f>_xlfn.TEXTJOIN(",",TRUE, Employee[[#This Row],[Last Name]], Employee[[#This Row],[First Name]])</f>
        <v>Benson, Troy</v>
      </c>
      <c r="D309" t="s">
        <v>151</v>
      </c>
      <c r="E309" t="s">
        <v>484</v>
      </c>
      <c r="F309" s="61">
        <v>41551</v>
      </c>
      <c r="G309">
        <v>4</v>
      </c>
      <c r="H309" t="s">
        <v>145</v>
      </c>
      <c r="I309" s="62">
        <v>68976</v>
      </c>
      <c r="J309">
        <v>5</v>
      </c>
    </row>
    <row r="310" spans="1:10" hidden="1" x14ac:dyDescent="0.25">
      <c r="A310" t="s">
        <v>679</v>
      </c>
      <c r="B310" t="s">
        <v>680</v>
      </c>
      <c r="C310" t="str">
        <f>_xlfn.TEXTJOIN(",",TRUE, Employee[[#This Row],[Last Name]], Employee[[#This Row],[First Name]])</f>
        <v>McGuire, Rebecca</v>
      </c>
      <c r="D310" t="s">
        <v>151</v>
      </c>
      <c r="E310" t="s">
        <v>484</v>
      </c>
      <c r="F310" s="61">
        <v>41552</v>
      </c>
      <c r="G310">
        <v>4</v>
      </c>
      <c r="H310" t="s">
        <v>139</v>
      </c>
      <c r="I310" s="62">
        <v>100625</v>
      </c>
      <c r="J310">
        <v>4</v>
      </c>
    </row>
    <row r="311" spans="1:10" hidden="1" x14ac:dyDescent="0.25">
      <c r="A311" t="s">
        <v>681</v>
      </c>
      <c r="B311" t="s">
        <v>682</v>
      </c>
      <c r="C311" t="str">
        <f>_xlfn.TEXTJOIN(",",TRUE, Employee[[#This Row],[Last Name]], Employee[[#This Row],[First Name]])</f>
        <v>Price, Diana</v>
      </c>
      <c r="D311" t="s">
        <v>137</v>
      </c>
      <c r="E311" t="s">
        <v>484</v>
      </c>
      <c r="F311" s="61">
        <v>40079</v>
      </c>
      <c r="G311">
        <v>8</v>
      </c>
      <c r="H311" t="s">
        <v>142</v>
      </c>
      <c r="I311" s="62">
        <v>71207</v>
      </c>
      <c r="J311">
        <v>3</v>
      </c>
    </row>
    <row r="312" spans="1:10" x14ac:dyDescent="0.25">
      <c r="A312" t="s">
        <v>683</v>
      </c>
      <c r="B312" t="s">
        <v>684</v>
      </c>
      <c r="C312" t="str">
        <f>_xlfn.TEXTJOIN(",",TRUE, Employee[[#This Row],[Last Name]], Employee[[#This Row],[First Name]])</f>
        <v>Decker, Amy</v>
      </c>
      <c r="D312" t="s">
        <v>178</v>
      </c>
      <c r="E312" t="s">
        <v>484</v>
      </c>
      <c r="F312" s="61">
        <v>37162</v>
      </c>
      <c r="G312">
        <v>16</v>
      </c>
      <c r="H312" t="s">
        <v>139</v>
      </c>
      <c r="I312" s="62">
        <v>74177</v>
      </c>
      <c r="J312">
        <v>4</v>
      </c>
    </row>
    <row r="313" spans="1:10" x14ac:dyDescent="0.25">
      <c r="A313" t="s">
        <v>685</v>
      </c>
      <c r="B313" t="s">
        <v>686</v>
      </c>
      <c r="C313" t="str">
        <f>_xlfn.TEXTJOIN(",",TRUE, Employee[[#This Row],[Last Name]], Employee[[#This Row],[First Name]])</f>
        <v>McLaughlin, Edward</v>
      </c>
      <c r="D313" t="s">
        <v>137</v>
      </c>
      <c r="E313" t="s">
        <v>484</v>
      </c>
      <c r="F313" s="61">
        <v>37522</v>
      </c>
      <c r="G313">
        <v>15</v>
      </c>
      <c r="H313" t="s">
        <v>139</v>
      </c>
      <c r="I313" s="62">
        <v>110056</v>
      </c>
      <c r="J313">
        <v>3</v>
      </c>
    </row>
    <row r="314" spans="1:10" x14ac:dyDescent="0.25">
      <c r="A314" t="s">
        <v>687</v>
      </c>
      <c r="B314" t="s">
        <v>405</v>
      </c>
      <c r="C314" t="str">
        <f>_xlfn.TEXTJOIN(",",TRUE, Employee[[#This Row],[Last Name]], Employee[[#This Row],[First Name]])</f>
        <v>Diaz, David</v>
      </c>
      <c r="D314" t="s">
        <v>161</v>
      </c>
      <c r="E314" t="s">
        <v>484</v>
      </c>
      <c r="F314" s="61">
        <v>37533</v>
      </c>
      <c r="G314">
        <v>15</v>
      </c>
      <c r="H314" t="s">
        <v>145</v>
      </c>
      <c r="I314" s="62">
        <v>123134</v>
      </c>
      <c r="J314">
        <v>4</v>
      </c>
    </row>
    <row r="315" spans="1:10" x14ac:dyDescent="0.25">
      <c r="A315" t="s">
        <v>688</v>
      </c>
      <c r="B315" t="s">
        <v>462</v>
      </c>
      <c r="C315" t="str">
        <f>_xlfn.TEXTJOIN(",",TRUE, Employee[[#This Row],[Last Name]], Employee[[#This Row],[First Name]])</f>
        <v>Davidson, Jaime</v>
      </c>
      <c r="D315" t="s">
        <v>151</v>
      </c>
      <c r="E315" t="s">
        <v>484</v>
      </c>
      <c r="F315" s="61">
        <v>38977</v>
      </c>
      <c r="G315">
        <v>11</v>
      </c>
      <c r="H315" t="s">
        <v>145</v>
      </c>
      <c r="I315" s="62">
        <v>57193</v>
      </c>
      <c r="J315">
        <v>5</v>
      </c>
    </row>
    <row r="316" spans="1:10" x14ac:dyDescent="0.25">
      <c r="A316" t="s">
        <v>689</v>
      </c>
      <c r="B316" t="s">
        <v>218</v>
      </c>
      <c r="C316" t="str">
        <f>_xlfn.TEXTJOIN(",",TRUE, Employee[[#This Row],[Last Name]], Employee[[#This Row],[First Name]])</f>
        <v>Manning, John</v>
      </c>
      <c r="D316" t="s">
        <v>137</v>
      </c>
      <c r="E316" t="s">
        <v>484</v>
      </c>
      <c r="F316" s="61">
        <v>39367</v>
      </c>
      <c r="G316">
        <v>10</v>
      </c>
      <c r="H316" t="s">
        <v>145</v>
      </c>
      <c r="I316" s="62">
        <v>48168</v>
      </c>
      <c r="J316">
        <v>3</v>
      </c>
    </row>
    <row r="317" spans="1:10" hidden="1" x14ac:dyDescent="0.25">
      <c r="A317" t="s">
        <v>690</v>
      </c>
      <c r="B317" t="s">
        <v>144</v>
      </c>
      <c r="C317" t="str">
        <f>_xlfn.TEXTJOIN(",",TRUE, Employee[[#This Row],[Last Name]], Employee[[#This Row],[First Name]])</f>
        <v>Harrison, Jonathan</v>
      </c>
      <c r="D317" t="s">
        <v>151</v>
      </c>
      <c r="E317" t="s">
        <v>484</v>
      </c>
      <c r="F317" s="61">
        <v>40825</v>
      </c>
      <c r="G317">
        <v>6</v>
      </c>
      <c r="H317" t="s">
        <v>145</v>
      </c>
      <c r="I317" s="62">
        <v>118550</v>
      </c>
      <c r="J317">
        <v>4</v>
      </c>
    </row>
    <row r="318" spans="1:10" hidden="1" x14ac:dyDescent="0.25">
      <c r="A318" t="s">
        <v>691</v>
      </c>
      <c r="B318" t="s">
        <v>692</v>
      </c>
      <c r="C318" t="str">
        <f>_xlfn.TEXTJOIN(",",TRUE, Employee[[#This Row],[Last Name]], Employee[[#This Row],[First Name]])</f>
        <v>Moss, Chan</v>
      </c>
      <c r="D318" t="s">
        <v>161</v>
      </c>
      <c r="E318" t="s">
        <v>484</v>
      </c>
      <c r="F318" s="61">
        <v>41548</v>
      </c>
      <c r="G318">
        <v>4</v>
      </c>
      <c r="H318" t="s">
        <v>145</v>
      </c>
      <c r="I318" s="62">
        <v>56533</v>
      </c>
      <c r="J318">
        <v>1</v>
      </c>
    </row>
    <row r="319" spans="1:10" hidden="1" x14ac:dyDescent="0.25">
      <c r="A319" t="s">
        <v>151</v>
      </c>
      <c r="B319" t="s">
        <v>693</v>
      </c>
      <c r="C319" t="str">
        <f>_xlfn.TEXTJOIN(",",TRUE, Employee[[#This Row],[Last Name]], Employee[[#This Row],[First Name]])</f>
        <v>Watson, Christian</v>
      </c>
      <c r="D319" t="s">
        <v>137</v>
      </c>
      <c r="E319" t="s">
        <v>484</v>
      </c>
      <c r="F319" s="61">
        <v>40481</v>
      </c>
      <c r="G319">
        <v>6</v>
      </c>
      <c r="H319" t="s">
        <v>142</v>
      </c>
      <c r="I319" s="62">
        <v>113370</v>
      </c>
      <c r="J319">
        <v>2</v>
      </c>
    </row>
    <row r="320" spans="1:10" hidden="1" x14ac:dyDescent="0.25">
      <c r="A320" t="s">
        <v>694</v>
      </c>
      <c r="B320" t="s">
        <v>695</v>
      </c>
      <c r="C320" t="str">
        <f>_xlfn.TEXTJOIN(",",TRUE, Employee[[#This Row],[Last Name]], Employee[[#This Row],[First Name]])</f>
        <v>Coleman, Roque</v>
      </c>
      <c r="D320" t="s">
        <v>155</v>
      </c>
      <c r="E320" t="s">
        <v>484</v>
      </c>
      <c r="F320" s="61">
        <v>40485</v>
      </c>
      <c r="G320">
        <v>6</v>
      </c>
      <c r="H320" t="s">
        <v>185</v>
      </c>
      <c r="I320" s="62">
        <v>42407</v>
      </c>
      <c r="J320">
        <v>5</v>
      </c>
    </row>
    <row r="321" spans="1:10" hidden="1" x14ac:dyDescent="0.25">
      <c r="A321" t="s">
        <v>696</v>
      </c>
      <c r="B321" t="s">
        <v>697</v>
      </c>
      <c r="C321" t="str">
        <f>_xlfn.TEXTJOIN(",",TRUE, Employee[[#This Row],[Last Name]], Employee[[#This Row],[First Name]])</f>
        <v>Patrick, Wendy</v>
      </c>
      <c r="D321" t="s">
        <v>161</v>
      </c>
      <c r="E321" t="s">
        <v>484</v>
      </c>
      <c r="F321" s="61">
        <v>41570</v>
      </c>
      <c r="G321">
        <v>3</v>
      </c>
      <c r="H321" t="s">
        <v>145</v>
      </c>
      <c r="I321" s="62">
        <v>47350</v>
      </c>
      <c r="J321">
        <v>2</v>
      </c>
    </row>
    <row r="322" spans="1:10" x14ac:dyDescent="0.25">
      <c r="A322" t="s">
        <v>698</v>
      </c>
      <c r="B322" t="s">
        <v>240</v>
      </c>
      <c r="C322" t="str">
        <f>_xlfn.TEXTJOIN(",",TRUE, Employee[[#This Row],[Last Name]], Employee[[#This Row],[First Name]])</f>
        <v>Parrish, Debra</v>
      </c>
      <c r="D322" t="s">
        <v>161</v>
      </c>
      <c r="E322" t="s">
        <v>484</v>
      </c>
      <c r="F322" s="61">
        <v>37179</v>
      </c>
      <c r="G322">
        <v>16</v>
      </c>
      <c r="H322" t="s">
        <v>139</v>
      </c>
      <c r="I322" s="62">
        <v>43983</v>
      </c>
      <c r="J322">
        <v>5</v>
      </c>
    </row>
    <row r="323" spans="1:10" x14ac:dyDescent="0.25">
      <c r="A323" t="s">
        <v>699</v>
      </c>
      <c r="B323" t="s">
        <v>320</v>
      </c>
      <c r="C323" t="str">
        <f>_xlfn.TEXTJOIN(",",TRUE, Employee[[#This Row],[Last Name]], Employee[[#This Row],[First Name]])</f>
        <v>Carson, Anthony</v>
      </c>
      <c r="D323" t="s">
        <v>137</v>
      </c>
      <c r="E323" t="s">
        <v>484</v>
      </c>
      <c r="F323" s="61">
        <v>37200</v>
      </c>
      <c r="G323">
        <v>15</v>
      </c>
      <c r="H323" t="s">
        <v>142</v>
      </c>
      <c r="I323" s="62">
        <v>123099</v>
      </c>
      <c r="J323">
        <v>2</v>
      </c>
    </row>
    <row r="324" spans="1:10" x14ac:dyDescent="0.25">
      <c r="A324" t="s">
        <v>700</v>
      </c>
      <c r="B324" t="s">
        <v>349</v>
      </c>
      <c r="C324" t="str">
        <f>_xlfn.TEXTJOIN(",",TRUE, Employee[[#This Row],[Last Name]], Employee[[#This Row],[First Name]])</f>
        <v>Heath, Deborah</v>
      </c>
      <c r="D324" t="s">
        <v>151</v>
      </c>
      <c r="E324" t="s">
        <v>484</v>
      </c>
      <c r="F324" s="61">
        <v>39014</v>
      </c>
      <c r="G324">
        <v>10</v>
      </c>
      <c r="H324" t="s">
        <v>185</v>
      </c>
      <c r="I324" s="62">
        <v>95555</v>
      </c>
      <c r="J324">
        <v>5</v>
      </c>
    </row>
    <row r="325" spans="1:10" x14ac:dyDescent="0.25">
      <c r="A325" t="s">
        <v>701</v>
      </c>
      <c r="B325" t="s">
        <v>405</v>
      </c>
      <c r="C325" t="str">
        <f>_xlfn.TEXTJOIN(",",TRUE, Employee[[#This Row],[Last Name]], Employee[[#This Row],[First Name]])</f>
        <v>Day, David</v>
      </c>
      <c r="D325" t="s">
        <v>161</v>
      </c>
      <c r="E325" t="s">
        <v>484</v>
      </c>
      <c r="F325" s="61">
        <v>39021</v>
      </c>
      <c r="G325">
        <v>10</v>
      </c>
      <c r="H325" t="s">
        <v>139</v>
      </c>
      <c r="I325" s="62">
        <v>69335</v>
      </c>
      <c r="J325">
        <v>3</v>
      </c>
    </row>
    <row r="326" spans="1:10" hidden="1" x14ac:dyDescent="0.25">
      <c r="A326" t="s">
        <v>702</v>
      </c>
      <c r="B326" t="s">
        <v>703</v>
      </c>
      <c r="C326" t="str">
        <f>_xlfn.TEXTJOIN(",",TRUE, Employee[[#This Row],[Last Name]], Employee[[#This Row],[First Name]])</f>
        <v>Dominguez, Duane</v>
      </c>
      <c r="D326" t="s">
        <v>155</v>
      </c>
      <c r="E326" t="s">
        <v>484</v>
      </c>
      <c r="F326" s="61">
        <v>39399</v>
      </c>
      <c r="G326">
        <v>9</v>
      </c>
      <c r="H326" t="s">
        <v>145</v>
      </c>
      <c r="I326" s="62">
        <v>45405</v>
      </c>
      <c r="J326">
        <v>4</v>
      </c>
    </row>
    <row r="327" spans="1:10" hidden="1" x14ac:dyDescent="0.25">
      <c r="A327" t="s">
        <v>704</v>
      </c>
      <c r="B327" t="s">
        <v>303</v>
      </c>
      <c r="C327" t="str">
        <f>_xlfn.TEXTJOIN(",",TRUE, Employee[[#This Row],[Last Name]], Employee[[#This Row],[First Name]])</f>
        <v>Flores, Angela</v>
      </c>
      <c r="D327" t="s">
        <v>151</v>
      </c>
      <c r="E327" t="s">
        <v>484</v>
      </c>
      <c r="F327" s="61">
        <v>39399</v>
      </c>
      <c r="G327">
        <v>9</v>
      </c>
      <c r="H327" t="s">
        <v>142</v>
      </c>
      <c r="I327" s="62">
        <v>45873</v>
      </c>
      <c r="J327">
        <v>1</v>
      </c>
    </row>
    <row r="328" spans="1:10" hidden="1" x14ac:dyDescent="0.25">
      <c r="A328" t="s">
        <v>705</v>
      </c>
      <c r="B328" t="s">
        <v>488</v>
      </c>
      <c r="C328" t="str">
        <f>_xlfn.TEXTJOIN(",",TRUE, Employee[[#This Row],[Last Name]], Employee[[#This Row],[First Name]])</f>
        <v>Richard, Karen</v>
      </c>
      <c r="D328" t="s">
        <v>155</v>
      </c>
      <c r="E328" t="s">
        <v>484</v>
      </c>
      <c r="F328" s="61">
        <v>40838</v>
      </c>
      <c r="G328">
        <v>5</v>
      </c>
      <c r="H328" t="s">
        <v>139</v>
      </c>
      <c r="I328" s="62">
        <v>117677</v>
      </c>
      <c r="J328">
        <v>5</v>
      </c>
    </row>
    <row r="329" spans="1:10" hidden="1" x14ac:dyDescent="0.25">
      <c r="A329" t="s">
        <v>706</v>
      </c>
      <c r="B329" t="s">
        <v>425</v>
      </c>
      <c r="C329" t="str">
        <f>_xlfn.TEXTJOIN(",",TRUE, Employee[[#This Row],[Last Name]], Employee[[#This Row],[First Name]])</f>
        <v>Nash, Mark</v>
      </c>
      <c r="D329" t="s">
        <v>161</v>
      </c>
      <c r="E329" t="s">
        <v>484</v>
      </c>
      <c r="F329" s="61">
        <v>40468</v>
      </c>
      <c r="G329">
        <v>7</v>
      </c>
      <c r="H329" t="s">
        <v>152</v>
      </c>
      <c r="I329" s="62">
        <v>49740</v>
      </c>
      <c r="J329">
        <v>5</v>
      </c>
    </row>
    <row r="330" spans="1:10" hidden="1" x14ac:dyDescent="0.25">
      <c r="A330" t="s">
        <v>707</v>
      </c>
      <c r="B330" t="s">
        <v>506</v>
      </c>
      <c r="C330" t="str">
        <f>_xlfn.TEXTJOIN(",",TRUE, Employee[[#This Row],[Last Name]], Employee[[#This Row],[First Name]])</f>
        <v>Camacho, Stephanie</v>
      </c>
      <c r="D330" t="s">
        <v>151</v>
      </c>
      <c r="E330" t="s">
        <v>484</v>
      </c>
      <c r="F330" s="61">
        <v>40863</v>
      </c>
      <c r="G330">
        <v>5</v>
      </c>
      <c r="H330" t="s">
        <v>145</v>
      </c>
      <c r="I330" s="62">
        <v>83005</v>
      </c>
      <c r="J330">
        <v>3</v>
      </c>
    </row>
    <row r="331" spans="1:10" x14ac:dyDescent="0.25">
      <c r="A331" t="s">
        <v>708</v>
      </c>
      <c r="B331" t="s">
        <v>709</v>
      </c>
      <c r="C331" t="str">
        <f>_xlfn.TEXTJOIN(",",TRUE, Employee[[#This Row],[Last Name]], Employee[[#This Row],[First Name]])</f>
        <v>Glover, Eugene</v>
      </c>
      <c r="D331" t="s">
        <v>161</v>
      </c>
      <c r="E331" t="s">
        <v>484</v>
      </c>
      <c r="F331" s="61">
        <v>37581</v>
      </c>
      <c r="G331">
        <v>14</v>
      </c>
      <c r="H331" t="s">
        <v>152</v>
      </c>
      <c r="I331" s="62">
        <v>59808</v>
      </c>
      <c r="J331">
        <v>1</v>
      </c>
    </row>
    <row r="332" spans="1:10" x14ac:dyDescent="0.25">
      <c r="A332" t="s">
        <v>710</v>
      </c>
      <c r="B332" t="s">
        <v>196</v>
      </c>
      <c r="C332" t="str">
        <f>_xlfn.TEXTJOIN(",",TRUE, Employee[[#This Row],[Last Name]], Employee[[#This Row],[First Name]])</f>
        <v>Meyer, Charles</v>
      </c>
      <c r="D332" t="s">
        <v>178</v>
      </c>
      <c r="E332" t="s">
        <v>484</v>
      </c>
      <c r="F332" s="61">
        <v>38307</v>
      </c>
      <c r="G332">
        <v>12</v>
      </c>
      <c r="H332" t="s">
        <v>185</v>
      </c>
      <c r="I332" s="62">
        <v>74514</v>
      </c>
      <c r="J332">
        <v>4</v>
      </c>
    </row>
    <row r="333" spans="1:10" x14ac:dyDescent="0.25">
      <c r="A333" t="s">
        <v>711</v>
      </c>
      <c r="B333" t="s">
        <v>712</v>
      </c>
      <c r="C333" t="str">
        <f>_xlfn.TEXTJOIN(",",TRUE, Employee[[#This Row],[Last Name]], Employee[[#This Row],[First Name]])</f>
        <v>Haynes, Ernest</v>
      </c>
      <c r="D333" t="s">
        <v>137</v>
      </c>
      <c r="E333" t="s">
        <v>484</v>
      </c>
      <c r="F333" s="61">
        <v>38698</v>
      </c>
      <c r="G333">
        <v>11</v>
      </c>
      <c r="H333" t="s">
        <v>139</v>
      </c>
      <c r="I333" s="62">
        <v>103603</v>
      </c>
      <c r="J333">
        <v>1</v>
      </c>
    </row>
    <row r="334" spans="1:10" hidden="1" x14ac:dyDescent="0.25">
      <c r="A334" t="s">
        <v>713</v>
      </c>
      <c r="B334" t="s">
        <v>396</v>
      </c>
      <c r="C334" t="str">
        <f>_xlfn.TEXTJOIN(",",TRUE, Employee[[#This Row],[Last Name]], Employee[[#This Row],[First Name]])</f>
        <v>Rhodes, Brenda</v>
      </c>
      <c r="D334" t="s">
        <v>151</v>
      </c>
      <c r="E334" t="s">
        <v>484</v>
      </c>
      <c r="F334" s="61">
        <v>41253</v>
      </c>
      <c r="G334">
        <v>4</v>
      </c>
      <c r="H334" t="s">
        <v>152</v>
      </c>
      <c r="I334" s="62">
        <v>126627</v>
      </c>
      <c r="J334">
        <v>2</v>
      </c>
    </row>
    <row r="335" spans="1:10" hidden="1" x14ac:dyDescent="0.25">
      <c r="A335" t="s">
        <v>714</v>
      </c>
      <c r="B335" t="s">
        <v>206</v>
      </c>
      <c r="C335" t="str">
        <f>_xlfn.TEXTJOIN(",",TRUE, Employee[[#This Row],[Last Name]], Employee[[#This Row],[First Name]])</f>
        <v>Hanson, Dennis</v>
      </c>
      <c r="D335" t="s">
        <v>151</v>
      </c>
      <c r="E335" t="s">
        <v>715</v>
      </c>
      <c r="F335" s="61">
        <v>41370</v>
      </c>
      <c r="G335">
        <v>4</v>
      </c>
      <c r="H335" t="s">
        <v>145</v>
      </c>
      <c r="I335" s="62">
        <v>110756</v>
      </c>
      <c r="J335">
        <v>2</v>
      </c>
    </row>
    <row r="336" spans="1:10" x14ac:dyDescent="0.25">
      <c r="A336" t="s">
        <v>716</v>
      </c>
      <c r="B336" t="s">
        <v>150</v>
      </c>
      <c r="C336" t="str">
        <f>_xlfn.TEXTJOIN(",",TRUE, Employee[[#This Row],[Last Name]], Employee[[#This Row],[First Name]])</f>
        <v>Wood, Larry</v>
      </c>
      <c r="D336" t="s">
        <v>148</v>
      </c>
      <c r="E336" t="s">
        <v>715</v>
      </c>
      <c r="F336" s="61">
        <v>38485</v>
      </c>
      <c r="G336">
        <v>12</v>
      </c>
      <c r="H336" t="s">
        <v>139</v>
      </c>
      <c r="I336" s="62">
        <v>103260</v>
      </c>
      <c r="J336">
        <v>5</v>
      </c>
    </row>
    <row r="337" spans="1:10" hidden="1" x14ac:dyDescent="0.25">
      <c r="A337" t="s">
        <v>717</v>
      </c>
      <c r="B337" t="s">
        <v>218</v>
      </c>
      <c r="C337" t="str">
        <f>_xlfn.TEXTJOIN(",",TRUE, Employee[[#This Row],[Last Name]], Employee[[#This Row],[First Name]])</f>
        <v>Savage, John</v>
      </c>
      <c r="D337" t="s">
        <v>151</v>
      </c>
      <c r="E337" t="s">
        <v>715</v>
      </c>
      <c r="F337" s="61">
        <v>41391</v>
      </c>
      <c r="G337">
        <v>4</v>
      </c>
      <c r="H337" t="s">
        <v>185</v>
      </c>
      <c r="I337" s="62">
        <v>61640</v>
      </c>
      <c r="J337">
        <v>5</v>
      </c>
    </row>
    <row r="338" spans="1:10" hidden="1" x14ac:dyDescent="0.25">
      <c r="A338" t="s">
        <v>718</v>
      </c>
      <c r="B338" t="s">
        <v>719</v>
      </c>
      <c r="C338" t="str">
        <f>_xlfn.TEXTJOIN(",",TRUE, Employee[[#This Row],[Last Name]], Employee[[#This Row],[First Name]])</f>
        <v>Carr, Susan</v>
      </c>
      <c r="D338" t="s">
        <v>178</v>
      </c>
      <c r="E338" t="s">
        <v>715</v>
      </c>
      <c r="F338" s="61">
        <v>42215</v>
      </c>
      <c r="G338">
        <v>2</v>
      </c>
      <c r="H338" t="s">
        <v>139</v>
      </c>
      <c r="I338" s="62">
        <v>111408</v>
      </c>
      <c r="J338">
        <v>3</v>
      </c>
    </row>
    <row r="339" spans="1:10" x14ac:dyDescent="0.25">
      <c r="A339" t="s">
        <v>720</v>
      </c>
      <c r="B339" t="s">
        <v>196</v>
      </c>
      <c r="C339" t="str">
        <f>_xlfn.TEXTJOIN(",",TRUE, Employee[[#This Row],[Last Name]], Employee[[#This Row],[First Name]])</f>
        <v>Alexander, Charles</v>
      </c>
      <c r="D339" t="s">
        <v>137</v>
      </c>
      <c r="E339" t="s">
        <v>715</v>
      </c>
      <c r="F339" s="61">
        <v>37843</v>
      </c>
      <c r="G339">
        <v>14</v>
      </c>
      <c r="H339" t="s">
        <v>145</v>
      </c>
      <c r="I339" s="62">
        <v>44469</v>
      </c>
      <c r="J339">
        <v>4</v>
      </c>
    </row>
    <row r="340" spans="1:10" x14ac:dyDescent="0.25">
      <c r="A340" t="s">
        <v>721</v>
      </c>
      <c r="B340" t="s">
        <v>722</v>
      </c>
      <c r="C340" t="str">
        <f>_xlfn.TEXTJOIN(",",TRUE, Employee[[#This Row],[Last Name]], Employee[[#This Row],[First Name]])</f>
        <v>Hernandez, Glenn</v>
      </c>
      <c r="D340" t="s">
        <v>155</v>
      </c>
      <c r="E340" t="s">
        <v>715</v>
      </c>
      <c r="F340" s="61">
        <v>39014</v>
      </c>
      <c r="G340">
        <v>10</v>
      </c>
      <c r="H340" t="s">
        <v>185</v>
      </c>
      <c r="I340" s="62">
        <v>115240</v>
      </c>
      <c r="J340">
        <v>2</v>
      </c>
    </row>
    <row r="341" spans="1:10" hidden="1" x14ac:dyDescent="0.25">
      <c r="A341" t="s">
        <v>723</v>
      </c>
      <c r="B341" t="s">
        <v>724</v>
      </c>
      <c r="C341" t="str">
        <f>_xlfn.TEXTJOIN(",",TRUE, Employee[[#This Row],[Last Name]], Employee[[#This Row],[First Name]])</f>
        <v>Roberts, Jackie</v>
      </c>
      <c r="D341" t="s">
        <v>137</v>
      </c>
      <c r="E341" t="s">
        <v>715</v>
      </c>
      <c r="F341" s="61">
        <v>40116</v>
      </c>
      <c r="G341">
        <v>7</v>
      </c>
      <c r="H341" t="s">
        <v>168</v>
      </c>
      <c r="I341" s="62">
        <v>93239</v>
      </c>
      <c r="J341">
        <v>4</v>
      </c>
    </row>
    <row r="342" spans="1:10" hidden="1" x14ac:dyDescent="0.25">
      <c r="A342" t="s">
        <v>725</v>
      </c>
      <c r="B342" t="s">
        <v>726</v>
      </c>
      <c r="C342" t="str">
        <f>_xlfn.TEXTJOIN(",",TRUE, Employee[[#This Row],[Last Name]], Employee[[#This Row],[First Name]])</f>
        <v>Trevino, Gary</v>
      </c>
      <c r="D342" t="s">
        <v>178</v>
      </c>
      <c r="E342" t="s">
        <v>727</v>
      </c>
      <c r="F342" s="61">
        <v>41630</v>
      </c>
      <c r="G342">
        <v>3</v>
      </c>
      <c r="H342" t="s">
        <v>139</v>
      </c>
      <c r="I342" s="62">
        <v>123209</v>
      </c>
      <c r="J342">
        <v>4</v>
      </c>
    </row>
    <row r="343" spans="1:10" hidden="1" x14ac:dyDescent="0.25">
      <c r="A343" t="s">
        <v>728</v>
      </c>
      <c r="B343" t="s">
        <v>729</v>
      </c>
      <c r="C343" t="str">
        <f>_xlfn.TEXTJOIN(",",TRUE, Employee[[#This Row],[Last Name]], Employee[[#This Row],[First Name]])</f>
        <v>Knox, Lori</v>
      </c>
      <c r="D343" t="s">
        <v>155</v>
      </c>
      <c r="E343" t="s">
        <v>727</v>
      </c>
      <c r="F343" s="61">
        <v>41989</v>
      </c>
      <c r="G343">
        <v>2</v>
      </c>
      <c r="H343" t="s">
        <v>142</v>
      </c>
      <c r="I343" s="62">
        <v>105769</v>
      </c>
      <c r="J343">
        <v>3</v>
      </c>
    </row>
    <row r="344" spans="1:10" hidden="1" x14ac:dyDescent="0.25">
      <c r="A344" t="s">
        <v>730</v>
      </c>
      <c r="B344" t="s">
        <v>731</v>
      </c>
      <c r="C344" t="str">
        <f>_xlfn.TEXTJOIN(",",TRUE, Employee[[#This Row],[Last Name]], Employee[[#This Row],[First Name]])</f>
        <v>Bishop, Juan</v>
      </c>
      <c r="D344" t="s">
        <v>155</v>
      </c>
      <c r="E344" t="s">
        <v>727</v>
      </c>
      <c r="F344" s="61">
        <v>40535</v>
      </c>
      <c r="G344">
        <v>6</v>
      </c>
      <c r="H344" t="s">
        <v>139</v>
      </c>
      <c r="I344" s="62">
        <v>86681</v>
      </c>
      <c r="J344">
        <v>5</v>
      </c>
    </row>
    <row r="345" spans="1:10" hidden="1" x14ac:dyDescent="0.25">
      <c r="A345" t="s">
        <v>732</v>
      </c>
      <c r="B345" t="s">
        <v>481</v>
      </c>
      <c r="C345" t="str">
        <f>_xlfn.TEXTJOIN(",",TRUE, Employee[[#This Row],[Last Name]], Employee[[#This Row],[First Name]])</f>
        <v>Brooks, Richard</v>
      </c>
      <c r="D345" t="s">
        <v>137</v>
      </c>
      <c r="E345" t="s">
        <v>727</v>
      </c>
      <c r="F345" s="61">
        <v>40176</v>
      </c>
      <c r="G345">
        <v>7</v>
      </c>
      <c r="H345" t="s">
        <v>185</v>
      </c>
      <c r="I345" s="62">
        <v>81413</v>
      </c>
      <c r="J345">
        <v>5</v>
      </c>
    </row>
    <row r="346" spans="1:10" hidden="1" x14ac:dyDescent="0.25">
      <c r="A346" t="s">
        <v>733</v>
      </c>
      <c r="B346" t="s">
        <v>136</v>
      </c>
      <c r="C346" t="str">
        <f>_xlfn.TEXTJOIN(",",TRUE, Employee[[#This Row],[Last Name]], Employee[[#This Row],[First Name]])</f>
        <v>Howard, Lisa</v>
      </c>
      <c r="D346" t="s">
        <v>161</v>
      </c>
      <c r="E346" t="s">
        <v>727</v>
      </c>
      <c r="F346" s="61">
        <v>41287</v>
      </c>
      <c r="G346">
        <v>4</v>
      </c>
      <c r="H346" t="s">
        <v>185</v>
      </c>
      <c r="I346" s="62">
        <v>78610</v>
      </c>
      <c r="J346">
        <v>4</v>
      </c>
    </row>
    <row r="347" spans="1:10" x14ac:dyDescent="0.25">
      <c r="A347" t="s">
        <v>734</v>
      </c>
      <c r="B347" t="s">
        <v>532</v>
      </c>
      <c r="C347" t="str">
        <f>_xlfn.TEXTJOIN(",",TRUE, Employee[[#This Row],[Last Name]], Employee[[#This Row],[First Name]])</f>
        <v>Marquez, Thomas</v>
      </c>
      <c r="D347" t="s">
        <v>137</v>
      </c>
      <c r="E347" t="s">
        <v>727</v>
      </c>
      <c r="F347" s="61">
        <v>37270</v>
      </c>
      <c r="G347">
        <v>15</v>
      </c>
      <c r="H347" t="s">
        <v>145</v>
      </c>
      <c r="I347" s="62">
        <v>116319</v>
      </c>
      <c r="J347">
        <v>5</v>
      </c>
    </row>
    <row r="348" spans="1:10" x14ac:dyDescent="0.25">
      <c r="A348" t="s">
        <v>735</v>
      </c>
      <c r="B348" t="s">
        <v>736</v>
      </c>
      <c r="C348" t="str">
        <f>_xlfn.TEXTJOIN(",",TRUE, Employee[[#This Row],[Last Name]], Employee[[#This Row],[First Name]])</f>
        <v>Reyes, Mary</v>
      </c>
      <c r="D348" t="s">
        <v>148</v>
      </c>
      <c r="E348" t="s">
        <v>727</v>
      </c>
      <c r="F348" s="61">
        <v>37277</v>
      </c>
      <c r="G348">
        <v>15</v>
      </c>
      <c r="H348" t="s">
        <v>145</v>
      </c>
      <c r="I348" s="62">
        <v>65423</v>
      </c>
      <c r="J348">
        <v>5</v>
      </c>
    </row>
    <row r="349" spans="1:10" x14ac:dyDescent="0.25">
      <c r="A349" t="s">
        <v>737</v>
      </c>
      <c r="B349" t="s">
        <v>738</v>
      </c>
      <c r="C349" t="str">
        <f>_xlfn.TEXTJOIN(",",TRUE, Employee[[#This Row],[Last Name]], Employee[[#This Row],[First Name]])</f>
        <v>Reynolds, Barbara</v>
      </c>
      <c r="D349" t="s">
        <v>137</v>
      </c>
      <c r="E349" t="s">
        <v>727</v>
      </c>
      <c r="F349" s="61">
        <v>38018</v>
      </c>
      <c r="G349">
        <v>13</v>
      </c>
      <c r="H349" t="s">
        <v>139</v>
      </c>
      <c r="I349" s="62">
        <v>54011</v>
      </c>
      <c r="J349">
        <v>5</v>
      </c>
    </row>
    <row r="350" spans="1:10" hidden="1" x14ac:dyDescent="0.25">
      <c r="A350" t="s">
        <v>739</v>
      </c>
      <c r="B350" t="s">
        <v>740</v>
      </c>
      <c r="C350" t="str">
        <f>_xlfn.TEXTJOIN(",",TRUE, Employee[[#This Row],[Last Name]], Employee[[#This Row],[First Name]])</f>
        <v>Lambert, Jody</v>
      </c>
      <c r="D350" t="s">
        <v>137</v>
      </c>
      <c r="E350" t="s">
        <v>727</v>
      </c>
      <c r="F350" s="61">
        <v>40949</v>
      </c>
      <c r="G350">
        <v>5</v>
      </c>
      <c r="H350" t="s">
        <v>152</v>
      </c>
      <c r="I350" s="62">
        <v>56645</v>
      </c>
      <c r="J350">
        <v>2</v>
      </c>
    </row>
    <row r="351" spans="1:10" hidden="1" x14ac:dyDescent="0.25">
      <c r="A351" t="s">
        <v>741</v>
      </c>
      <c r="B351" t="s">
        <v>742</v>
      </c>
      <c r="C351" t="str">
        <f>_xlfn.TEXTJOIN(",",TRUE, Employee[[#This Row],[Last Name]], Employee[[#This Row],[First Name]])</f>
        <v>Leach, Jingwen</v>
      </c>
      <c r="D351" t="s">
        <v>155</v>
      </c>
      <c r="E351" t="s">
        <v>727</v>
      </c>
      <c r="F351" s="61">
        <v>41688</v>
      </c>
      <c r="G351">
        <v>3</v>
      </c>
      <c r="H351" t="s">
        <v>145</v>
      </c>
      <c r="I351" s="62">
        <v>112790</v>
      </c>
      <c r="J351">
        <v>4</v>
      </c>
    </row>
    <row r="352" spans="1:10" hidden="1" x14ac:dyDescent="0.25">
      <c r="A352" t="s">
        <v>743</v>
      </c>
      <c r="B352" t="s">
        <v>744</v>
      </c>
      <c r="C352" t="str">
        <f>_xlfn.TEXTJOIN(",",TRUE, Employee[[#This Row],[Last Name]], Employee[[#This Row],[First Name]])</f>
        <v>Holmes, Tito</v>
      </c>
      <c r="D352" t="s">
        <v>161</v>
      </c>
      <c r="E352" t="s">
        <v>727</v>
      </c>
      <c r="F352" s="61">
        <v>41702</v>
      </c>
      <c r="G352">
        <v>3</v>
      </c>
      <c r="H352" t="s">
        <v>152</v>
      </c>
      <c r="I352" s="62">
        <v>125069</v>
      </c>
      <c r="J352">
        <v>4</v>
      </c>
    </row>
    <row r="353" spans="1:10" hidden="1" x14ac:dyDescent="0.25">
      <c r="A353" t="s">
        <v>745</v>
      </c>
      <c r="B353" t="s">
        <v>358</v>
      </c>
      <c r="C353" t="str">
        <f>_xlfn.TEXTJOIN(",",TRUE, Employee[[#This Row],[Last Name]], Employee[[#This Row],[First Name]])</f>
        <v>Gill, Douglas</v>
      </c>
      <c r="D353" t="s">
        <v>155</v>
      </c>
      <c r="E353" t="s">
        <v>727</v>
      </c>
      <c r="F353" s="61">
        <v>40225</v>
      </c>
      <c r="G353">
        <v>7</v>
      </c>
      <c r="H353" t="s">
        <v>152</v>
      </c>
      <c r="I353" s="62">
        <v>75401</v>
      </c>
      <c r="J353">
        <v>5</v>
      </c>
    </row>
    <row r="354" spans="1:10" hidden="1" x14ac:dyDescent="0.25">
      <c r="A354" t="s">
        <v>746</v>
      </c>
      <c r="B354" t="s">
        <v>747</v>
      </c>
      <c r="C354" t="str">
        <f>_xlfn.TEXTJOIN(",",TRUE, Employee[[#This Row],[Last Name]], Employee[[#This Row],[First Name]])</f>
        <v>Koch, Danielle</v>
      </c>
      <c r="D354" t="s">
        <v>151</v>
      </c>
      <c r="E354" t="s">
        <v>727</v>
      </c>
      <c r="F354" s="61">
        <v>40245</v>
      </c>
      <c r="G354">
        <v>7</v>
      </c>
      <c r="H354" t="s">
        <v>145</v>
      </c>
      <c r="I354" s="62">
        <v>95570</v>
      </c>
      <c r="J354">
        <v>5</v>
      </c>
    </row>
    <row r="355" spans="1:10" hidden="1" x14ac:dyDescent="0.25">
      <c r="A355" t="s">
        <v>748</v>
      </c>
      <c r="B355" t="s">
        <v>749</v>
      </c>
      <c r="C355" t="str">
        <f>_xlfn.TEXTJOIN(",",TRUE, Employee[[#This Row],[Last Name]], Employee[[#This Row],[First Name]])</f>
        <v>Stephens, Bonnie</v>
      </c>
      <c r="D355" t="s">
        <v>151</v>
      </c>
      <c r="E355" t="s">
        <v>727</v>
      </c>
      <c r="F355" s="61">
        <v>39883</v>
      </c>
      <c r="G355">
        <v>8</v>
      </c>
      <c r="H355" t="s">
        <v>145</v>
      </c>
      <c r="I355" s="62">
        <v>83404</v>
      </c>
      <c r="J355">
        <v>2</v>
      </c>
    </row>
    <row r="356" spans="1:10" x14ac:dyDescent="0.25">
      <c r="A356" t="s">
        <v>750</v>
      </c>
      <c r="B356" t="s">
        <v>751</v>
      </c>
      <c r="C356" t="str">
        <f>_xlfn.TEXTJOIN(",",TRUE, Employee[[#This Row],[Last Name]], Employee[[#This Row],[First Name]])</f>
        <v>Patton, Corey</v>
      </c>
      <c r="D356" t="s">
        <v>137</v>
      </c>
      <c r="E356" t="s">
        <v>727</v>
      </c>
      <c r="F356" s="61">
        <v>36934</v>
      </c>
      <c r="G356">
        <v>16</v>
      </c>
      <c r="H356" t="s">
        <v>168</v>
      </c>
      <c r="I356" s="62">
        <v>69800</v>
      </c>
      <c r="J356">
        <v>3</v>
      </c>
    </row>
    <row r="357" spans="1:10" x14ac:dyDescent="0.25">
      <c r="A357" t="s">
        <v>752</v>
      </c>
      <c r="B357" t="s">
        <v>532</v>
      </c>
      <c r="C357" t="str">
        <f>_xlfn.TEXTJOIN(",",TRUE, Employee[[#This Row],[Last Name]], Employee[[#This Row],[First Name]])</f>
        <v>Chavez, Thomas</v>
      </c>
      <c r="D357" t="s">
        <v>161</v>
      </c>
      <c r="E357" t="s">
        <v>727</v>
      </c>
      <c r="F357" s="61">
        <v>36935</v>
      </c>
      <c r="G357">
        <v>16</v>
      </c>
      <c r="H357" t="s">
        <v>185</v>
      </c>
      <c r="I357" s="62">
        <v>84002</v>
      </c>
      <c r="J357">
        <v>3</v>
      </c>
    </row>
    <row r="358" spans="1:10" hidden="1" x14ac:dyDescent="0.25">
      <c r="A358" t="s">
        <v>753</v>
      </c>
      <c r="B358" t="s">
        <v>754</v>
      </c>
      <c r="C358" t="str">
        <f>_xlfn.TEXTJOIN(",",TRUE, Employee[[#This Row],[Last Name]], Employee[[#This Row],[First Name]])</f>
        <v>Hull, Jeanne</v>
      </c>
      <c r="D358" t="s">
        <v>137</v>
      </c>
      <c r="E358" t="s">
        <v>727</v>
      </c>
      <c r="F358" s="61">
        <v>40235</v>
      </c>
      <c r="G358">
        <v>7</v>
      </c>
      <c r="H358" t="s">
        <v>185</v>
      </c>
      <c r="I358" s="62">
        <v>123051</v>
      </c>
      <c r="J358">
        <v>4</v>
      </c>
    </row>
    <row r="359" spans="1:10" hidden="1" x14ac:dyDescent="0.25">
      <c r="A359" t="s">
        <v>755</v>
      </c>
      <c r="B359" t="s">
        <v>175</v>
      </c>
      <c r="C359" t="str">
        <f>_xlfn.TEXTJOIN(",",TRUE, Employee[[#This Row],[Last Name]], Employee[[#This Row],[First Name]])</f>
        <v>Hogan, Daniel</v>
      </c>
      <c r="D359" t="s">
        <v>155</v>
      </c>
      <c r="E359" t="s">
        <v>727</v>
      </c>
      <c r="F359" s="61">
        <v>42078</v>
      </c>
      <c r="G359">
        <v>2</v>
      </c>
      <c r="H359" t="s">
        <v>142</v>
      </c>
      <c r="I359" s="62">
        <v>123234</v>
      </c>
      <c r="J359">
        <v>4</v>
      </c>
    </row>
    <row r="360" spans="1:10" hidden="1" x14ac:dyDescent="0.25">
      <c r="A360" t="s">
        <v>756</v>
      </c>
      <c r="B360" t="s">
        <v>291</v>
      </c>
      <c r="C360" t="str">
        <f>_xlfn.TEXTJOIN(",",TRUE, Employee[[#This Row],[Last Name]], Employee[[#This Row],[First Name]])</f>
        <v>Prince, Robert</v>
      </c>
      <c r="D360" t="s">
        <v>137</v>
      </c>
      <c r="E360" t="s">
        <v>727</v>
      </c>
      <c r="F360" s="61">
        <v>42085</v>
      </c>
      <c r="G360">
        <v>2</v>
      </c>
      <c r="H360" t="s">
        <v>139</v>
      </c>
      <c r="I360" s="62">
        <v>61223</v>
      </c>
      <c r="J360">
        <v>2</v>
      </c>
    </row>
    <row r="361" spans="1:10" hidden="1" x14ac:dyDescent="0.25">
      <c r="A361" t="s">
        <v>757</v>
      </c>
      <c r="B361" t="s">
        <v>758</v>
      </c>
      <c r="C361" t="str">
        <f>_xlfn.TEXTJOIN(",",TRUE, Employee[[#This Row],[Last Name]], Employee[[#This Row],[First Name]])</f>
        <v>Randall, Yvonne</v>
      </c>
      <c r="D361" t="s">
        <v>155</v>
      </c>
      <c r="E361" t="s">
        <v>727</v>
      </c>
      <c r="F361" s="61">
        <v>40258</v>
      </c>
      <c r="G361">
        <v>7</v>
      </c>
      <c r="H361" t="s">
        <v>152</v>
      </c>
      <c r="I361" s="62">
        <v>119751</v>
      </c>
      <c r="J361">
        <v>4</v>
      </c>
    </row>
    <row r="362" spans="1:10" hidden="1" x14ac:dyDescent="0.25">
      <c r="A362" t="s">
        <v>759</v>
      </c>
      <c r="B362" t="s">
        <v>150</v>
      </c>
      <c r="C362" t="str">
        <f>_xlfn.TEXTJOIN(",",TRUE, Employee[[#This Row],[Last Name]], Employee[[#This Row],[First Name]])</f>
        <v>Reed, Larry</v>
      </c>
      <c r="D362" t="s">
        <v>155</v>
      </c>
      <c r="E362" t="s">
        <v>727</v>
      </c>
      <c r="F362" s="61">
        <v>39912</v>
      </c>
      <c r="G362">
        <v>8</v>
      </c>
      <c r="H362" t="s">
        <v>139</v>
      </c>
      <c r="I362" s="62">
        <v>80640</v>
      </c>
      <c r="J362">
        <v>4</v>
      </c>
    </row>
    <row r="363" spans="1:10" x14ac:dyDescent="0.25">
      <c r="A363" t="s">
        <v>760</v>
      </c>
      <c r="B363" t="s">
        <v>761</v>
      </c>
      <c r="C363" t="str">
        <f>_xlfn.TEXTJOIN(",",TRUE, Employee[[#This Row],[Last Name]], Employee[[#This Row],[First Name]])</f>
        <v>Love, Danny</v>
      </c>
      <c r="D363" t="s">
        <v>151</v>
      </c>
      <c r="E363" t="s">
        <v>727</v>
      </c>
      <c r="F363" s="61">
        <v>37375</v>
      </c>
      <c r="G363">
        <v>15</v>
      </c>
      <c r="H363" t="s">
        <v>139</v>
      </c>
      <c r="I363" s="62">
        <v>71455</v>
      </c>
      <c r="J363">
        <v>2</v>
      </c>
    </row>
    <row r="364" spans="1:10" x14ac:dyDescent="0.25">
      <c r="A364" t="s">
        <v>762</v>
      </c>
      <c r="B364" t="s">
        <v>384</v>
      </c>
      <c r="C364" t="str">
        <f>_xlfn.TEXTJOIN(",",TRUE, Employee[[#This Row],[Last Name]], Employee[[#This Row],[First Name]])</f>
        <v>Campbell, Michael</v>
      </c>
      <c r="D364" t="s">
        <v>137</v>
      </c>
      <c r="E364" t="s">
        <v>727</v>
      </c>
      <c r="F364" s="61">
        <v>37740</v>
      </c>
      <c r="G364">
        <v>14</v>
      </c>
      <c r="H364" t="s">
        <v>185</v>
      </c>
      <c r="I364" s="62">
        <v>74304</v>
      </c>
      <c r="J364">
        <v>4</v>
      </c>
    </row>
    <row r="365" spans="1:10" hidden="1" x14ac:dyDescent="0.25">
      <c r="A365" t="s">
        <v>763</v>
      </c>
      <c r="B365" t="s">
        <v>764</v>
      </c>
      <c r="C365" t="str">
        <f>_xlfn.TEXTJOIN(",",TRUE, Employee[[#This Row],[Last Name]], Employee[[#This Row],[First Name]])</f>
        <v>Valdez, Ann</v>
      </c>
      <c r="D365" t="s">
        <v>148</v>
      </c>
      <c r="E365" t="s">
        <v>727</v>
      </c>
      <c r="F365" s="61">
        <v>40670</v>
      </c>
      <c r="G365">
        <v>6</v>
      </c>
      <c r="H365" t="s">
        <v>145</v>
      </c>
      <c r="I365" s="62">
        <v>86111</v>
      </c>
      <c r="J365">
        <v>3</v>
      </c>
    </row>
    <row r="366" spans="1:10" hidden="1" x14ac:dyDescent="0.25">
      <c r="A366" t="s">
        <v>765</v>
      </c>
      <c r="B366" t="s">
        <v>766</v>
      </c>
      <c r="C366" t="str">
        <f>_xlfn.TEXTJOIN(",",TRUE, Employee[[#This Row],[Last Name]], Employee[[#This Row],[First Name]])</f>
        <v>Hamilton, Theo</v>
      </c>
      <c r="D366" t="s">
        <v>148</v>
      </c>
      <c r="E366" t="s">
        <v>727</v>
      </c>
      <c r="F366" s="61">
        <v>41790</v>
      </c>
      <c r="G366">
        <v>3</v>
      </c>
      <c r="H366" t="s">
        <v>139</v>
      </c>
      <c r="I366" s="62">
        <v>122165</v>
      </c>
      <c r="J366">
        <v>1</v>
      </c>
    </row>
    <row r="367" spans="1:10" hidden="1" x14ac:dyDescent="0.25">
      <c r="A367" t="s">
        <v>767</v>
      </c>
      <c r="B367" t="s">
        <v>279</v>
      </c>
      <c r="C367" t="str">
        <f>_xlfn.TEXTJOIN(",",TRUE, Employee[[#This Row],[Last Name]], Employee[[#This Row],[First Name]])</f>
        <v>Buckel, Patricia</v>
      </c>
      <c r="D367" t="s">
        <v>148</v>
      </c>
      <c r="E367" t="s">
        <v>727</v>
      </c>
      <c r="F367" s="61">
        <v>42148</v>
      </c>
      <c r="G367">
        <v>2</v>
      </c>
      <c r="H367" t="s">
        <v>142</v>
      </c>
      <c r="I367" s="62">
        <v>104783</v>
      </c>
      <c r="J367">
        <v>1</v>
      </c>
    </row>
    <row r="368" spans="1:10" hidden="1" x14ac:dyDescent="0.25">
      <c r="A368" t="s">
        <v>768</v>
      </c>
      <c r="B368" t="s">
        <v>405</v>
      </c>
      <c r="C368" t="str">
        <f>_xlfn.TEXTJOIN(",",TRUE, Employee[[#This Row],[Last Name]], Employee[[#This Row],[First Name]])</f>
        <v>Fischer, David</v>
      </c>
      <c r="D368" t="s">
        <v>155</v>
      </c>
      <c r="E368" t="s">
        <v>727</v>
      </c>
      <c r="F368" s="61">
        <v>40336</v>
      </c>
      <c r="G368">
        <v>7</v>
      </c>
      <c r="H368" t="s">
        <v>168</v>
      </c>
      <c r="I368" s="62">
        <v>57724</v>
      </c>
      <c r="J368">
        <v>2</v>
      </c>
    </row>
    <row r="369" spans="1:10" hidden="1" x14ac:dyDescent="0.25">
      <c r="A369" t="s">
        <v>769</v>
      </c>
      <c r="B369" t="s">
        <v>770</v>
      </c>
      <c r="C369" t="str">
        <f>_xlfn.TEXTJOIN(",",TRUE, Employee[[#This Row],[Last Name]], Employee[[#This Row],[First Name]])</f>
        <v>Spears, Melanie</v>
      </c>
      <c r="D369" t="s">
        <v>137</v>
      </c>
      <c r="E369" t="s">
        <v>727</v>
      </c>
      <c r="F369" s="61">
        <v>41411</v>
      </c>
      <c r="G369">
        <v>4</v>
      </c>
      <c r="H369" t="s">
        <v>152</v>
      </c>
      <c r="I369" s="62">
        <v>66016</v>
      </c>
      <c r="J369">
        <v>4</v>
      </c>
    </row>
    <row r="370" spans="1:10" x14ac:dyDescent="0.25">
      <c r="A370" t="s">
        <v>771</v>
      </c>
      <c r="B370" t="s">
        <v>481</v>
      </c>
      <c r="C370" t="str">
        <f>_xlfn.TEXTJOIN(",",TRUE, Employee[[#This Row],[Last Name]], Employee[[#This Row],[First Name]])</f>
        <v>McLean, Richard</v>
      </c>
      <c r="D370" t="s">
        <v>155</v>
      </c>
      <c r="E370" t="s">
        <v>727</v>
      </c>
      <c r="F370" s="61">
        <v>37781</v>
      </c>
      <c r="G370">
        <v>14</v>
      </c>
      <c r="H370" t="s">
        <v>145</v>
      </c>
      <c r="I370" s="62">
        <v>88259</v>
      </c>
      <c r="J370">
        <v>4</v>
      </c>
    </row>
    <row r="371" spans="1:10" hidden="1" x14ac:dyDescent="0.25">
      <c r="A371" t="s">
        <v>772</v>
      </c>
      <c r="B371" t="s">
        <v>773</v>
      </c>
      <c r="C371" t="str">
        <f>_xlfn.TEXTJOIN(",",TRUE, Employee[[#This Row],[Last Name]], Employee[[#This Row],[First Name]])</f>
        <v>Everett, Dan</v>
      </c>
      <c r="D371" t="s">
        <v>161</v>
      </c>
      <c r="E371" t="s">
        <v>727</v>
      </c>
      <c r="F371" s="61">
        <v>41429</v>
      </c>
      <c r="G371">
        <v>4</v>
      </c>
      <c r="H371" t="s">
        <v>185</v>
      </c>
      <c r="I371" s="62">
        <v>96619</v>
      </c>
      <c r="J371">
        <v>3</v>
      </c>
    </row>
    <row r="372" spans="1:10" hidden="1" x14ac:dyDescent="0.25">
      <c r="A372" t="s">
        <v>774</v>
      </c>
      <c r="B372" t="s">
        <v>196</v>
      </c>
      <c r="C372" t="str">
        <f>_xlfn.TEXTJOIN(",",TRUE, Employee[[#This Row],[Last Name]], Employee[[#This Row],[First Name]])</f>
        <v>Robles, Charles</v>
      </c>
      <c r="D372" t="s">
        <v>155</v>
      </c>
      <c r="E372" t="s">
        <v>727</v>
      </c>
      <c r="F372" s="61">
        <v>40368</v>
      </c>
      <c r="G372">
        <v>7</v>
      </c>
      <c r="H372" t="s">
        <v>185</v>
      </c>
      <c r="I372" s="62">
        <v>47851</v>
      </c>
      <c r="J372">
        <v>2</v>
      </c>
    </row>
    <row r="373" spans="1:10" hidden="1" x14ac:dyDescent="0.25">
      <c r="A373" t="s">
        <v>775</v>
      </c>
      <c r="B373" t="s">
        <v>776</v>
      </c>
      <c r="C373" t="str">
        <f>_xlfn.TEXTJOIN(",",TRUE, Employee[[#This Row],[Last Name]], Employee[[#This Row],[First Name]])</f>
        <v>Ingram, Matt</v>
      </c>
      <c r="D373" t="s">
        <v>137</v>
      </c>
      <c r="E373" t="s">
        <v>727</v>
      </c>
      <c r="F373" s="61">
        <v>41445</v>
      </c>
      <c r="G373">
        <v>4</v>
      </c>
      <c r="H373" t="s">
        <v>139</v>
      </c>
      <c r="I373" s="62">
        <v>55409</v>
      </c>
      <c r="J373">
        <v>4</v>
      </c>
    </row>
    <row r="374" spans="1:10" x14ac:dyDescent="0.25">
      <c r="A374" t="s">
        <v>777</v>
      </c>
      <c r="B374" t="s">
        <v>778</v>
      </c>
      <c r="C374" t="str">
        <f>_xlfn.TEXTJOIN(",",TRUE, Employee[[#This Row],[Last Name]], Employee[[#This Row],[First Name]])</f>
        <v>Ross, Janice</v>
      </c>
      <c r="D374" t="s">
        <v>178</v>
      </c>
      <c r="E374" t="s">
        <v>727</v>
      </c>
      <c r="F374" s="61">
        <v>37449</v>
      </c>
      <c r="G374">
        <v>15</v>
      </c>
      <c r="H374" t="s">
        <v>185</v>
      </c>
      <c r="I374" s="62">
        <v>116169</v>
      </c>
      <c r="J374">
        <v>2</v>
      </c>
    </row>
    <row r="375" spans="1:10" hidden="1" x14ac:dyDescent="0.25">
      <c r="A375" t="s">
        <v>779</v>
      </c>
      <c r="B375" t="s">
        <v>196</v>
      </c>
      <c r="C375" t="str">
        <f>_xlfn.TEXTJOIN(",",TRUE, Employee[[#This Row],[Last Name]], Employee[[#This Row],[First Name]])</f>
        <v>Lowery, Charles</v>
      </c>
      <c r="D375" t="s">
        <v>161</v>
      </c>
      <c r="E375" t="s">
        <v>727</v>
      </c>
      <c r="F375" s="61">
        <v>40361</v>
      </c>
      <c r="G375">
        <v>7</v>
      </c>
      <c r="H375" t="s">
        <v>145</v>
      </c>
      <c r="I375" s="62">
        <v>94826</v>
      </c>
      <c r="J375">
        <v>3</v>
      </c>
    </row>
    <row r="376" spans="1:10" hidden="1" x14ac:dyDescent="0.25">
      <c r="A376" t="s">
        <v>780</v>
      </c>
      <c r="B376" t="s">
        <v>405</v>
      </c>
      <c r="C376" t="str">
        <f>_xlfn.TEXTJOIN(",",TRUE, Employee[[#This Row],[Last Name]], Employee[[#This Row],[First Name]])</f>
        <v>Gonzales, David</v>
      </c>
      <c r="D376" t="s">
        <v>161</v>
      </c>
      <c r="E376" t="s">
        <v>727</v>
      </c>
      <c r="F376" s="61">
        <v>41439</v>
      </c>
      <c r="G376">
        <v>4</v>
      </c>
      <c r="H376" t="s">
        <v>152</v>
      </c>
      <c r="I376" s="62">
        <v>96418</v>
      </c>
      <c r="J376">
        <v>2</v>
      </c>
    </row>
    <row r="377" spans="1:10" hidden="1" x14ac:dyDescent="0.25">
      <c r="A377" t="s">
        <v>781</v>
      </c>
      <c r="B377" t="s">
        <v>782</v>
      </c>
      <c r="C377" t="str">
        <f>_xlfn.TEXTJOIN(",",TRUE, Employee[[#This Row],[Last Name]], Employee[[#This Row],[First Name]])</f>
        <v>Blevins, Carey</v>
      </c>
      <c r="D377" t="s">
        <v>148</v>
      </c>
      <c r="E377" t="s">
        <v>727</v>
      </c>
      <c r="F377" s="61">
        <v>41473</v>
      </c>
      <c r="G377">
        <v>4</v>
      </c>
      <c r="H377" t="s">
        <v>139</v>
      </c>
      <c r="I377" s="62">
        <v>42446</v>
      </c>
      <c r="J377">
        <v>4</v>
      </c>
    </row>
    <row r="378" spans="1:10" x14ac:dyDescent="0.25">
      <c r="A378" t="s">
        <v>783</v>
      </c>
      <c r="B378" t="s">
        <v>218</v>
      </c>
      <c r="C378" t="str">
        <f>_xlfn.TEXTJOIN(",",TRUE, Employee[[#This Row],[Last Name]], Employee[[#This Row],[First Name]])</f>
        <v>Jones, John</v>
      </c>
      <c r="D378" t="s">
        <v>148</v>
      </c>
      <c r="E378" t="s">
        <v>727</v>
      </c>
      <c r="F378" s="61">
        <v>37470</v>
      </c>
      <c r="G378">
        <v>15</v>
      </c>
      <c r="H378" t="s">
        <v>185</v>
      </c>
      <c r="I378" s="62">
        <v>90681</v>
      </c>
      <c r="J378">
        <v>4</v>
      </c>
    </row>
    <row r="379" spans="1:10" hidden="1" x14ac:dyDescent="0.25">
      <c r="A379" t="s">
        <v>784</v>
      </c>
      <c r="B379" t="s">
        <v>785</v>
      </c>
      <c r="C379" t="str">
        <f>_xlfn.TEXTJOIN(",",TRUE, Employee[[#This Row],[Last Name]], Employee[[#This Row],[First Name]])</f>
        <v>Bush, Rena</v>
      </c>
      <c r="D379" t="s">
        <v>178</v>
      </c>
      <c r="E379" t="s">
        <v>727</v>
      </c>
      <c r="F379" s="61">
        <v>40408</v>
      </c>
      <c r="G379">
        <v>7</v>
      </c>
      <c r="H379" t="s">
        <v>145</v>
      </c>
      <c r="I379" s="62">
        <v>58792</v>
      </c>
      <c r="J379">
        <v>5</v>
      </c>
    </row>
    <row r="380" spans="1:10" hidden="1" x14ac:dyDescent="0.25">
      <c r="A380" t="s">
        <v>786</v>
      </c>
      <c r="B380" t="s">
        <v>787</v>
      </c>
      <c r="C380" t="str">
        <f>_xlfn.TEXTJOIN(",",TRUE, Employee[[#This Row],[Last Name]], Employee[[#This Row],[First Name]])</f>
        <v>Simon, Sheila</v>
      </c>
      <c r="D380" t="s">
        <v>155</v>
      </c>
      <c r="E380" t="s">
        <v>727</v>
      </c>
      <c r="F380" s="61">
        <v>40047</v>
      </c>
      <c r="G380">
        <v>8</v>
      </c>
      <c r="H380" t="s">
        <v>145</v>
      </c>
      <c r="I380" s="62">
        <v>88669</v>
      </c>
      <c r="J380">
        <v>2</v>
      </c>
    </row>
    <row r="381" spans="1:10" x14ac:dyDescent="0.25">
      <c r="A381" t="s">
        <v>788</v>
      </c>
      <c r="B381" t="s">
        <v>175</v>
      </c>
      <c r="C381" t="str">
        <f>_xlfn.TEXTJOIN(",",TRUE, Employee[[#This Row],[Last Name]], Employee[[#This Row],[First Name]])</f>
        <v>Johnston, Daniel</v>
      </c>
      <c r="D381" t="s">
        <v>137</v>
      </c>
      <c r="E381" t="s">
        <v>727</v>
      </c>
      <c r="F381" s="61">
        <v>38216</v>
      </c>
      <c r="G381">
        <v>13</v>
      </c>
      <c r="H381" t="s">
        <v>142</v>
      </c>
      <c r="I381" s="62">
        <v>95336</v>
      </c>
      <c r="J381">
        <v>1</v>
      </c>
    </row>
    <row r="382" spans="1:10" x14ac:dyDescent="0.25">
      <c r="A382" t="s">
        <v>789</v>
      </c>
      <c r="B382" t="s">
        <v>662</v>
      </c>
      <c r="C382" t="str">
        <f>_xlfn.TEXTJOIN(",",TRUE, Employee[[#This Row],[Last Name]], Employee[[#This Row],[First Name]])</f>
        <v>Tucker, James</v>
      </c>
      <c r="D382" t="s">
        <v>178</v>
      </c>
      <c r="E382" t="s">
        <v>727</v>
      </c>
      <c r="F382" s="61">
        <v>38219</v>
      </c>
      <c r="G382">
        <v>13</v>
      </c>
      <c r="H382" t="s">
        <v>168</v>
      </c>
      <c r="I382" s="62">
        <v>57718</v>
      </c>
      <c r="J382">
        <v>3</v>
      </c>
    </row>
    <row r="383" spans="1:10" hidden="1" x14ac:dyDescent="0.25">
      <c r="A383" t="s">
        <v>790</v>
      </c>
      <c r="B383" t="s">
        <v>469</v>
      </c>
      <c r="C383" t="str">
        <f>_xlfn.TEXTJOIN(",",TRUE, Employee[[#This Row],[Last Name]], Employee[[#This Row],[First Name]])</f>
        <v>Johns, Chad</v>
      </c>
      <c r="D383" t="s">
        <v>151</v>
      </c>
      <c r="E383" t="s">
        <v>727</v>
      </c>
      <c r="F383" s="61">
        <v>41161</v>
      </c>
      <c r="G383">
        <v>5</v>
      </c>
      <c r="H383" t="s">
        <v>185</v>
      </c>
      <c r="I383" s="62">
        <v>103657</v>
      </c>
      <c r="J383">
        <v>4</v>
      </c>
    </row>
    <row r="384" spans="1:10" hidden="1" x14ac:dyDescent="0.25">
      <c r="A384" t="s">
        <v>791</v>
      </c>
      <c r="B384" t="s">
        <v>792</v>
      </c>
      <c r="C384" t="str">
        <f>_xlfn.TEXTJOIN(",",TRUE, Employee[[#This Row],[Last Name]], Employee[[#This Row],[First Name]])</f>
        <v>Griffin, Debbi</v>
      </c>
      <c r="D384" t="s">
        <v>161</v>
      </c>
      <c r="E384" t="s">
        <v>727</v>
      </c>
      <c r="F384" s="61">
        <v>41525</v>
      </c>
      <c r="G384">
        <v>4</v>
      </c>
      <c r="H384" t="s">
        <v>139</v>
      </c>
      <c r="I384" s="62">
        <v>80141</v>
      </c>
      <c r="J384">
        <v>4</v>
      </c>
    </row>
    <row r="385" spans="1:10" x14ac:dyDescent="0.25">
      <c r="A385" t="s">
        <v>793</v>
      </c>
      <c r="B385" t="s">
        <v>794</v>
      </c>
      <c r="C385" t="str">
        <f>_xlfn.TEXTJOIN(",",TRUE, Employee[[#This Row],[Last Name]], Employee[[#This Row],[First Name]])</f>
        <v>Waters, Alfred</v>
      </c>
      <c r="D385" t="s">
        <v>155</v>
      </c>
      <c r="E385" t="s">
        <v>727</v>
      </c>
      <c r="F385" s="61">
        <v>37172</v>
      </c>
      <c r="G385">
        <v>16</v>
      </c>
      <c r="H385" t="s">
        <v>139</v>
      </c>
      <c r="I385" s="62">
        <v>48546</v>
      </c>
      <c r="J385">
        <v>1</v>
      </c>
    </row>
    <row r="386" spans="1:10" x14ac:dyDescent="0.25">
      <c r="A386" t="s">
        <v>795</v>
      </c>
      <c r="B386" t="s">
        <v>796</v>
      </c>
      <c r="C386" t="str">
        <f>_xlfn.TEXTJOIN(",",TRUE, Employee[[#This Row],[Last Name]], Employee[[#This Row],[First Name]])</f>
        <v>Caldwell, Pete</v>
      </c>
      <c r="D386" t="s">
        <v>161</v>
      </c>
      <c r="E386" t="s">
        <v>727</v>
      </c>
      <c r="F386" s="61">
        <v>37534</v>
      </c>
      <c r="G386">
        <v>15</v>
      </c>
      <c r="H386" t="s">
        <v>185</v>
      </c>
      <c r="I386" s="62">
        <v>60489</v>
      </c>
      <c r="J386">
        <v>5</v>
      </c>
    </row>
    <row r="387" spans="1:10" x14ac:dyDescent="0.25">
      <c r="A387" t="s">
        <v>797</v>
      </c>
      <c r="B387" t="s">
        <v>358</v>
      </c>
      <c r="C387" t="str">
        <f>_xlfn.TEXTJOIN(",",TRUE, Employee[[#This Row],[Last Name]], Employee[[#This Row],[First Name]])</f>
        <v>Bryant, Douglas</v>
      </c>
      <c r="D387" t="s">
        <v>155</v>
      </c>
      <c r="E387" t="s">
        <v>727</v>
      </c>
      <c r="F387" s="61">
        <v>37541</v>
      </c>
      <c r="G387">
        <v>15</v>
      </c>
      <c r="H387" t="s">
        <v>139</v>
      </c>
      <c r="I387" s="62">
        <v>77192</v>
      </c>
      <c r="J387">
        <v>3</v>
      </c>
    </row>
    <row r="388" spans="1:10" x14ac:dyDescent="0.25">
      <c r="A388" t="s">
        <v>798</v>
      </c>
      <c r="B388" t="s">
        <v>170</v>
      </c>
      <c r="C388" t="str">
        <f>_xlfn.TEXTJOIN(",",TRUE, Employee[[#This Row],[Last Name]], Employee[[#This Row],[First Name]])</f>
        <v>Weeks, Troy</v>
      </c>
      <c r="D388" t="s">
        <v>161</v>
      </c>
      <c r="E388" t="s">
        <v>727</v>
      </c>
      <c r="F388" s="61">
        <v>38244</v>
      </c>
      <c r="G388">
        <v>13</v>
      </c>
      <c r="H388" t="s">
        <v>142</v>
      </c>
      <c r="I388" s="62">
        <v>69414</v>
      </c>
      <c r="J388">
        <v>4</v>
      </c>
    </row>
    <row r="389" spans="1:10" x14ac:dyDescent="0.25">
      <c r="A389" t="s">
        <v>799</v>
      </c>
      <c r="B389" t="s">
        <v>800</v>
      </c>
      <c r="C389" t="str">
        <f>_xlfn.TEXTJOIN(",",TRUE, Employee[[#This Row],[Last Name]], Employee[[#This Row],[First Name]])</f>
        <v>Barr, Jennifer</v>
      </c>
      <c r="D389" t="s">
        <v>155</v>
      </c>
      <c r="E389" t="s">
        <v>727</v>
      </c>
      <c r="F389" s="61">
        <v>37194</v>
      </c>
      <c r="G389">
        <v>15</v>
      </c>
      <c r="H389" t="s">
        <v>168</v>
      </c>
      <c r="I389" s="62">
        <v>122418</v>
      </c>
      <c r="J389">
        <v>1</v>
      </c>
    </row>
    <row r="390" spans="1:10" x14ac:dyDescent="0.25">
      <c r="A390" t="s">
        <v>801</v>
      </c>
      <c r="B390" t="s">
        <v>802</v>
      </c>
      <c r="C390" t="str">
        <f>_xlfn.TEXTJOIN(",",TRUE, Employee[[#This Row],[Last Name]], Employee[[#This Row],[First Name]])</f>
        <v>Jensen, Kristina</v>
      </c>
      <c r="D390" t="s">
        <v>137</v>
      </c>
      <c r="E390" t="s">
        <v>727</v>
      </c>
      <c r="F390" s="61">
        <v>37199</v>
      </c>
      <c r="G390">
        <v>15</v>
      </c>
      <c r="H390" t="s">
        <v>185</v>
      </c>
      <c r="I390" s="62">
        <v>110342</v>
      </c>
      <c r="J390">
        <v>3</v>
      </c>
    </row>
    <row r="391" spans="1:10" x14ac:dyDescent="0.25">
      <c r="A391" t="s">
        <v>803</v>
      </c>
      <c r="B391" t="s">
        <v>291</v>
      </c>
      <c r="C391" t="str">
        <f>_xlfn.TEXTJOIN(",",TRUE, Employee[[#This Row],[Last Name]], Employee[[#This Row],[First Name]])</f>
        <v>Moore, Robert</v>
      </c>
      <c r="D391" t="s">
        <v>137</v>
      </c>
      <c r="E391" t="s">
        <v>727</v>
      </c>
      <c r="F391" s="61">
        <v>37223</v>
      </c>
      <c r="G391">
        <v>15</v>
      </c>
      <c r="H391" t="s">
        <v>142</v>
      </c>
      <c r="I391" s="62">
        <v>74920</v>
      </c>
      <c r="J391">
        <v>5</v>
      </c>
    </row>
    <row r="392" spans="1:10" hidden="1" x14ac:dyDescent="0.25">
      <c r="A392" t="s">
        <v>804</v>
      </c>
      <c r="B392" t="s">
        <v>525</v>
      </c>
      <c r="C392" t="str">
        <f>_xlfn.TEXTJOIN(",",TRUE, Employee[[#This Row],[Last Name]], Employee[[#This Row],[First Name]])</f>
        <v>Sellers, William</v>
      </c>
      <c r="D392" t="s">
        <v>161</v>
      </c>
      <c r="E392" t="s">
        <v>727</v>
      </c>
      <c r="F392" s="61">
        <v>40141</v>
      </c>
      <c r="G392">
        <v>7</v>
      </c>
      <c r="H392" t="s">
        <v>145</v>
      </c>
      <c r="I392" s="62">
        <v>52239</v>
      </c>
      <c r="J392">
        <v>5</v>
      </c>
    </row>
    <row r="393" spans="1:10" hidden="1" x14ac:dyDescent="0.25">
      <c r="A393" t="s">
        <v>805</v>
      </c>
      <c r="B393" t="s">
        <v>719</v>
      </c>
      <c r="C393" t="str">
        <f>_xlfn.TEXTJOIN(",",TRUE, Employee[[#This Row],[Last Name]], Employee[[#This Row],[First Name]])</f>
        <v>Maynard, Susan</v>
      </c>
      <c r="D393" t="s">
        <v>178</v>
      </c>
      <c r="E393" t="s">
        <v>806</v>
      </c>
      <c r="F393" s="61">
        <v>42000</v>
      </c>
      <c r="G393">
        <v>2</v>
      </c>
      <c r="H393" t="s">
        <v>139</v>
      </c>
      <c r="I393" s="62">
        <v>87790</v>
      </c>
      <c r="J393">
        <v>5</v>
      </c>
    </row>
    <row r="394" spans="1:10" hidden="1" x14ac:dyDescent="0.25">
      <c r="A394" t="s">
        <v>807</v>
      </c>
      <c r="B394" t="s">
        <v>808</v>
      </c>
      <c r="C394" t="str">
        <f>_xlfn.TEXTJOIN(",",TRUE, Employee[[#This Row],[Last Name]], Employee[[#This Row],[First Name]])</f>
        <v>Norman, Rita</v>
      </c>
      <c r="D394" t="s">
        <v>155</v>
      </c>
      <c r="E394" t="s">
        <v>806</v>
      </c>
      <c r="F394" s="61">
        <v>39812</v>
      </c>
      <c r="G394">
        <v>8</v>
      </c>
      <c r="H394" t="s">
        <v>145</v>
      </c>
      <c r="I394" s="62">
        <v>85333</v>
      </c>
      <c r="J394">
        <v>4</v>
      </c>
    </row>
    <row r="395" spans="1:10" x14ac:dyDescent="0.25">
      <c r="A395" t="s">
        <v>809</v>
      </c>
      <c r="B395" t="s">
        <v>810</v>
      </c>
      <c r="C395" t="str">
        <f>_xlfn.TEXTJOIN(",",TRUE, Employee[[#This Row],[Last Name]], Employee[[#This Row],[First Name]])</f>
        <v>Leon, Emily</v>
      </c>
      <c r="D395" t="s">
        <v>161</v>
      </c>
      <c r="E395" t="s">
        <v>806</v>
      </c>
      <c r="F395" s="61">
        <v>37253</v>
      </c>
      <c r="G395">
        <v>15</v>
      </c>
      <c r="H395" t="s">
        <v>185</v>
      </c>
      <c r="I395" s="62">
        <v>122546</v>
      </c>
      <c r="J395">
        <v>2</v>
      </c>
    </row>
    <row r="396" spans="1:10" x14ac:dyDescent="0.25">
      <c r="A396" t="s">
        <v>811</v>
      </c>
      <c r="B396" t="s">
        <v>812</v>
      </c>
      <c r="C396" t="str">
        <f>_xlfn.TEXTJOIN(",",TRUE, Employee[[#This Row],[Last Name]], Employee[[#This Row],[First Name]])</f>
        <v>Vaughn, Harlon</v>
      </c>
      <c r="D396" t="s">
        <v>161</v>
      </c>
      <c r="E396" t="s">
        <v>806</v>
      </c>
      <c r="F396" s="61">
        <v>37976</v>
      </c>
      <c r="G396">
        <v>13</v>
      </c>
      <c r="H396" t="s">
        <v>139</v>
      </c>
      <c r="I396" s="62">
        <v>66852</v>
      </c>
      <c r="J396">
        <v>2</v>
      </c>
    </row>
    <row r="397" spans="1:10" hidden="1" x14ac:dyDescent="0.25">
      <c r="A397" t="s">
        <v>813</v>
      </c>
      <c r="B397" t="s">
        <v>814</v>
      </c>
      <c r="C397" t="str">
        <f>_xlfn.TEXTJOIN(",",TRUE, Employee[[#This Row],[Last Name]], Employee[[#This Row],[First Name]])</f>
        <v>Arnold, Cole</v>
      </c>
      <c r="D397" t="s">
        <v>155</v>
      </c>
      <c r="E397" t="s">
        <v>806</v>
      </c>
      <c r="F397" s="61">
        <v>41313</v>
      </c>
      <c r="G397">
        <v>4</v>
      </c>
      <c r="H397" t="s">
        <v>185</v>
      </c>
      <c r="I397" s="62">
        <v>73768</v>
      </c>
      <c r="J397">
        <v>5</v>
      </c>
    </row>
    <row r="398" spans="1:10" x14ac:dyDescent="0.25">
      <c r="A398" t="s">
        <v>815</v>
      </c>
      <c r="B398" t="s">
        <v>816</v>
      </c>
      <c r="C398" t="str">
        <f>_xlfn.TEXTJOIN(",",TRUE, Employee[[#This Row],[Last Name]], Employee[[#This Row],[First Name]])</f>
        <v>Kelly, Icelita</v>
      </c>
      <c r="D398" t="s">
        <v>178</v>
      </c>
      <c r="E398" t="s">
        <v>806</v>
      </c>
      <c r="F398" s="61">
        <v>37645</v>
      </c>
      <c r="G398">
        <v>14</v>
      </c>
      <c r="H398" t="s">
        <v>168</v>
      </c>
      <c r="I398" s="62">
        <v>121665</v>
      </c>
      <c r="J398">
        <v>5</v>
      </c>
    </row>
    <row r="399" spans="1:10" hidden="1" x14ac:dyDescent="0.25">
      <c r="A399" t="s">
        <v>817</v>
      </c>
      <c r="B399" t="s">
        <v>818</v>
      </c>
      <c r="C399" t="str">
        <f>_xlfn.TEXTJOIN(",",TRUE, Employee[[#This Row],[Last Name]], Employee[[#This Row],[First Name]])</f>
        <v>Bowers, Tammy</v>
      </c>
      <c r="D399" t="s">
        <v>178</v>
      </c>
      <c r="E399" t="s">
        <v>806</v>
      </c>
      <c r="F399" s="61">
        <v>41341</v>
      </c>
      <c r="G399">
        <v>4</v>
      </c>
      <c r="H399" t="s">
        <v>139</v>
      </c>
      <c r="I399" s="62">
        <v>54271</v>
      </c>
      <c r="J399">
        <v>4</v>
      </c>
    </row>
    <row r="400" spans="1:10" hidden="1" x14ac:dyDescent="0.25">
      <c r="A400" t="s">
        <v>819</v>
      </c>
      <c r="B400" t="s">
        <v>386</v>
      </c>
      <c r="C400" t="str">
        <f>_xlfn.TEXTJOIN(",",TRUE, Employee[[#This Row],[Last Name]], Employee[[#This Row],[First Name]])</f>
        <v>McCullough, Scott</v>
      </c>
      <c r="D400" t="s">
        <v>155</v>
      </c>
      <c r="E400" t="s">
        <v>806</v>
      </c>
      <c r="F400" s="61">
        <v>42124</v>
      </c>
      <c r="G400">
        <v>2</v>
      </c>
      <c r="H400" t="s">
        <v>139</v>
      </c>
      <c r="I400" s="62">
        <v>112476</v>
      </c>
      <c r="J400">
        <v>5</v>
      </c>
    </row>
    <row r="401" spans="1:10" x14ac:dyDescent="0.25">
      <c r="A401" t="s">
        <v>820</v>
      </c>
      <c r="B401" t="s">
        <v>291</v>
      </c>
      <c r="C401" t="str">
        <f>_xlfn.TEXTJOIN(",",TRUE, Employee[[#This Row],[Last Name]], Employee[[#This Row],[First Name]])</f>
        <v>Owen, Robert</v>
      </c>
      <c r="D401" t="s">
        <v>161</v>
      </c>
      <c r="E401" t="s">
        <v>806</v>
      </c>
      <c r="F401" s="61">
        <v>37039</v>
      </c>
      <c r="G401">
        <v>16</v>
      </c>
      <c r="H401" t="s">
        <v>139</v>
      </c>
      <c r="I401" s="62">
        <v>110665</v>
      </c>
      <c r="J401">
        <v>3</v>
      </c>
    </row>
    <row r="402" spans="1:10" hidden="1" x14ac:dyDescent="0.25">
      <c r="A402" t="s">
        <v>821</v>
      </c>
      <c r="B402" t="s">
        <v>822</v>
      </c>
      <c r="C402" t="str">
        <f>_xlfn.TEXTJOIN(",",TRUE, Employee[[#This Row],[Last Name]], Employee[[#This Row],[First Name]])</f>
        <v>Livingston, Lynette</v>
      </c>
      <c r="D402" t="s">
        <v>148</v>
      </c>
      <c r="E402" t="s">
        <v>806</v>
      </c>
      <c r="F402" s="61">
        <v>41411</v>
      </c>
      <c r="G402">
        <v>4</v>
      </c>
      <c r="H402" t="s">
        <v>145</v>
      </c>
      <c r="I402" s="62">
        <v>87268</v>
      </c>
      <c r="J402">
        <v>2</v>
      </c>
    </row>
    <row r="403" spans="1:10" x14ac:dyDescent="0.25">
      <c r="A403" t="s">
        <v>823</v>
      </c>
      <c r="B403" t="s">
        <v>218</v>
      </c>
      <c r="C403" t="str">
        <f>_xlfn.TEXTJOIN(",",TRUE, Employee[[#This Row],[Last Name]], Employee[[#This Row],[First Name]])</f>
        <v>Lucas, John</v>
      </c>
      <c r="D403" t="s">
        <v>155</v>
      </c>
      <c r="E403" t="s">
        <v>806</v>
      </c>
      <c r="F403" s="61">
        <v>38881</v>
      </c>
      <c r="G403">
        <v>11</v>
      </c>
      <c r="H403" t="s">
        <v>145</v>
      </c>
      <c r="I403" s="62">
        <v>96303</v>
      </c>
      <c r="J403">
        <v>3</v>
      </c>
    </row>
    <row r="404" spans="1:10" x14ac:dyDescent="0.25">
      <c r="A404" t="s">
        <v>824</v>
      </c>
      <c r="B404" t="s">
        <v>825</v>
      </c>
      <c r="C404" t="str">
        <f>_xlfn.TEXTJOIN(",",TRUE, Employee[[#This Row],[Last Name]], Employee[[#This Row],[First Name]])</f>
        <v>Byrd, Asa</v>
      </c>
      <c r="D404" t="s">
        <v>151</v>
      </c>
      <c r="E404" t="s">
        <v>806</v>
      </c>
      <c r="F404" s="61">
        <v>38905</v>
      </c>
      <c r="G404">
        <v>11</v>
      </c>
      <c r="H404" t="s">
        <v>145</v>
      </c>
      <c r="I404" s="62">
        <v>75506</v>
      </c>
      <c r="J404">
        <v>2</v>
      </c>
    </row>
    <row r="405" spans="1:10" hidden="1" x14ac:dyDescent="0.25">
      <c r="A405" t="s">
        <v>826</v>
      </c>
      <c r="B405" t="s">
        <v>165</v>
      </c>
      <c r="C405" t="str">
        <f>_xlfn.TEXTJOIN(",",TRUE, Employee[[#This Row],[Last Name]], Employee[[#This Row],[First Name]])</f>
        <v>Short, Timothy</v>
      </c>
      <c r="D405" t="s">
        <v>161</v>
      </c>
      <c r="E405" t="s">
        <v>806</v>
      </c>
      <c r="F405" s="61">
        <v>41450</v>
      </c>
      <c r="G405">
        <v>4</v>
      </c>
      <c r="H405" t="s">
        <v>145</v>
      </c>
      <c r="I405" s="62">
        <v>74973</v>
      </c>
      <c r="J405">
        <v>4</v>
      </c>
    </row>
    <row r="406" spans="1:10" x14ac:dyDescent="0.25">
      <c r="A406" t="s">
        <v>827</v>
      </c>
      <c r="B406" t="s">
        <v>618</v>
      </c>
      <c r="C406" t="str">
        <f>_xlfn.TEXTJOIN(",",TRUE, Employee[[#This Row],[Last Name]], Employee[[#This Row],[First Name]])</f>
        <v>McCarthy, Ryan</v>
      </c>
      <c r="D406" t="s">
        <v>137</v>
      </c>
      <c r="E406" t="s">
        <v>806</v>
      </c>
      <c r="F406" s="61">
        <v>37125</v>
      </c>
      <c r="G406">
        <v>16</v>
      </c>
      <c r="H406" t="s">
        <v>145</v>
      </c>
      <c r="I406" s="62">
        <v>76226</v>
      </c>
      <c r="J406">
        <v>2</v>
      </c>
    </row>
    <row r="407" spans="1:10" hidden="1" x14ac:dyDescent="0.25">
      <c r="A407" t="s">
        <v>828</v>
      </c>
      <c r="B407" t="s">
        <v>829</v>
      </c>
      <c r="C407" t="str">
        <f>_xlfn.TEXTJOIN(",",TRUE, Employee[[#This Row],[Last Name]], Employee[[#This Row],[First Name]])</f>
        <v>Ball, Kirk</v>
      </c>
      <c r="D407" t="s">
        <v>155</v>
      </c>
      <c r="E407" t="s">
        <v>806</v>
      </c>
      <c r="F407" s="61">
        <v>42287</v>
      </c>
      <c r="G407">
        <v>2</v>
      </c>
      <c r="H407" t="s">
        <v>142</v>
      </c>
      <c r="I407" s="62">
        <v>82363</v>
      </c>
      <c r="J407">
        <v>1</v>
      </c>
    </row>
    <row r="408" spans="1:10" hidden="1" x14ac:dyDescent="0.25">
      <c r="A408" t="s">
        <v>830</v>
      </c>
      <c r="B408" t="s">
        <v>384</v>
      </c>
      <c r="C408" t="str">
        <f>_xlfn.TEXTJOIN(",",TRUE, Employee[[#This Row],[Last Name]], Employee[[#This Row],[First Name]])</f>
        <v>Burke, Michael</v>
      </c>
      <c r="D408" t="s">
        <v>148</v>
      </c>
      <c r="E408" t="s">
        <v>806</v>
      </c>
      <c r="F408" s="61">
        <v>40089</v>
      </c>
      <c r="G408">
        <v>8</v>
      </c>
      <c r="H408" t="s">
        <v>145</v>
      </c>
      <c r="I408" s="62">
        <v>72407</v>
      </c>
      <c r="J408">
        <v>4</v>
      </c>
    </row>
    <row r="409" spans="1:10" x14ac:dyDescent="0.25">
      <c r="A409" t="s">
        <v>831</v>
      </c>
      <c r="B409" t="s">
        <v>703</v>
      </c>
      <c r="C409" t="str">
        <f>_xlfn.TEXTJOIN(",",TRUE, Employee[[#This Row],[Last Name]], Employee[[#This Row],[First Name]])</f>
        <v>Pope, Duane</v>
      </c>
      <c r="D409" t="s">
        <v>161</v>
      </c>
      <c r="E409" t="s">
        <v>806</v>
      </c>
      <c r="F409" s="61">
        <v>37162</v>
      </c>
      <c r="G409">
        <v>16</v>
      </c>
      <c r="H409" t="s">
        <v>145</v>
      </c>
      <c r="I409" s="62">
        <v>99465</v>
      </c>
      <c r="J409">
        <v>4</v>
      </c>
    </row>
    <row r="410" spans="1:10" hidden="1" x14ac:dyDescent="0.25">
      <c r="A410" t="s">
        <v>832</v>
      </c>
      <c r="B410" t="s">
        <v>366</v>
      </c>
      <c r="C410" t="str">
        <f>_xlfn.TEXTJOIN(",",TRUE, Employee[[#This Row],[Last Name]], Employee[[#This Row],[First Name]])</f>
        <v>Christensen, Jill</v>
      </c>
      <c r="D410" t="s">
        <v>161</v>
      </c>
      <c r="E410" t="s">
        <v>806</v>
      </c>
      <c r="F410" s="61">
        <v>41572</v>
      </c>
      <c r="G410">
        <v>3</v>
      </c>
      <c r="H410" t="s">
        <v>145</v>
      </c>
      <c r="I410" s="62">
        <v>114721</v>
      </c>
      <c r="J410">
        <v>3</v>
      </c>
    </row>
    <row r="411" spans="1:10" x14ac:dyDescent="0.25">
      <c r="A411" t="s">
        <v>833</v>
      </c>
      <c r="B411" t="s">
        <v>834</v>
      </c>
      <c r="C411" t="str">
        <f>_xlfn.TEXTJOIN(",",TRUE, Employee[[#This Row],[Last Name]], Employee[[#This Row],[First Name]])</f>
        <v>Franklin, Alicia</v>
      </c>
      <c r="D411" t="s">
        <v>151</v>
      </c>
      <c r="E411" t="s">
        <v>806</v>
      </c>
      <c r="F411" s="61">
        <v>37544</v>
      </c>
      <c r="G411">
        <v>15</v>
      </c>
      <c r="H411" t="s">
        <v>185</v>
      </c>
      <c r="I411" s="62">
        <v>88353</v>
      </c>
      <c r="J411">
        <v>5</v>
      </c>
    </row>
    <row r="412" spans="1:10" x14ac:dyDescent="0.25">
      <c r="A412" t="s">
        <v>835</v>
      </c>
      <c r="B412" t="s">
        <v>198</v>
      </c>
      <c r="C412" t="str">
        <f>_xlfn.TEXTJOIN(",",TRUE, Employee[[#This Row],[Last Name]], Employee[[#This Row],[First Name]])</f>
        <v>Moody, Matthew</v>
      </c>
      <c r="D412" t="s">
        <v>137</v>
      </c>
      <c r="E412" t="s">
        <v>806</v>
      </c>
      <c r="F412" s="61">
        <v>38314</v>
      </c>
      <c r="G412">
        <v>12</v>
      </c>
      <c r="H412" t="s">
        <v>145</v>
      </c>
      <c r="I412" s="62">
        <v>86059</v>
      </c>
      <c r="J412">
        <v>3</v>
      </c>
    </row>
    <row r="413" spans="1:10" hidden="1" x14ac:dyDescent="0.25">
      <c r="A413" t="s">
        <v>836</v>
      </c>
      <c r="B413" t="s">
        <v>532</v>
      </c>
      <c r="C413" t="str">
        <f>_xlfn.TEXTJOIN(",",TRUE, Employee[[#This Row],[Last Name]], Employee[[#This Row],[First Name]])</f>
        <v>Bryan, Thomas</v>
      </c>
      <c r="D413" t="s">
        <v>178</v>
      </c>
      <c r="E413" t="s">
        <v>806</v>
      </c>
      <c r="F413" s="61">
        <v>41611</v>
      </c>
      <c r="G413">
        <v>3</v>
      </c>
      <c r="H413" t="s">
        <v>168</v>
      </c>
      <c r="I413" s="62">
        <v>64793</v>
      </c>
      <c r="J413">
        <v>2</v>
      </c>
    </row>
    <row r="414" spans="1:10" hidden="1" x14ac:dyDescent="0.25">
      <c r="A414" t="s">
        <v>837</v>
      </c>
      <c r="B414" t="s">
        <v>227</v>
      </c>
      <c r="C414" t="str">
        <f>_xlfn.TEXTJOIN(",",TRUE, Employee[[#This Row],[Last Name]], Employee[[#This Row],[First Name]])</f>
        <v>Knight, Denise</v>
      </c>
      <c r="D414" t="s">
        <v>137</v>
      </c>
      <c r="E414" t="s">
        <v>393</v>
      </c>
      <c r="F414" s="61">
        <v>39816</v>
      </c>
      <c r="G414">
        <v>8</v>
      </c>
      <c r="H414" t="s">
        <v>145</v>
      </c>
      <c r="I414" s="62">
        <v>42001</v>
      </c>
      <c r="J414">
        <v>2</v>
      </c>
    </row>
    <row r="415" spans="1:10" hidden="1" x14ac:dyDescent="0.25">
      <c r="A415" t="s">
        <v>838</v>
      </c>
      <c r="B415" t="s">
        <v>776</v>
      </c>
      <c r="C415" t="str">
        <f>_xlfn.TEXTJOIN(",",TRUE, Employee[[#This Row],[Last Name]], Employee[[#This Row],[First Name]])</f>
        <v>Stephenson, Matt</v>
      </c>
      <c r="D415" t="s">
        <v>137</v>
      </c>
      <c r="E415" t="s">
        <v>393</v>
      </c>
      <c r="F415" s="61">
        <v>40600</v>
      </c>
      <c r="G415">
        <v>6</v>
      </c>
      <c r="H415" t="s">
        <v>145</v>
      </c>
      <c r="I415" s="62">
        <v>43487</v>
      </c>
      <c r="J415">
        <v>2</v>
      </c>
    </row>
    <row r="416" spans="1:10" hidden="1" x14ac:dyDescent="0.25">
      <c r="A416" t="s">
        <v>839</v>
      </c>
      <c r="B416" t="s">
        <v>840</v>
      </c>
      <c r="C416" t="str">
        <f>_xlfn.TEXTJOIN(",",TRUE, Employee[[#This Row],[Last Name]], Employee[[#This Row],[First Name]])</f>
        <v>Medina, Warren</v>
      </c>
      <c r="D416" t="s">
        <v>155</v>
      </c>
      <c r="E416" t="s">
        <v>393</v>
      </c>
      <c r="F416" s="61">
        <v>40275</v>
      </c>
      <c r="G416">
        <v>7</v>
      </c>
      <c r="H416" t="s">
        <v>139</v>
      </c>
      <c r="I416" s="62">
        <v>102929</v>
      </c>
      <c r="J416">
        <v>1</v>
      </c>
    </row>
    <row r="417" spans="1:10" hidden="1" x14ac:dyDescent="0.25">
      <c r="A417" t="s">
        <v>841</v>
      </c>
      <c r="B417" t="s">
        <v>218</v>
      </c>
      <c r="C417" t="str">
        <f>_xlfn.TEXTJOIN(",",TRUE, Employee[[#This Row],[Last Name]], Employee[[#This Row],[First Name]])</f>
        <v>Wall, John</v>
      </c>
      <c r="D417" t="s">
        <v>161</v>
      </c>
      <c r="E417" t="s">
        <v>393</v>
      </c>
      <c r="F417" s="61">
        <v>39932</v>
      </c>
      <c r="G417">
        <v>8</v>
      </c>
      <c r="H417" t="s">
        <v>145</v>
      </c>
      <c r="I417" s="62">
        <v>98838</v>
      </c>
      <c r="J417">
        <v>4</v>
      </c>
    </row>
    <row r="418" spans="1:10" hidden="1" x14ac:dyDescent="0.25">
      <c r="A418" t="s">
        <v>842</v>
      </c>
      <c r="B418" t="s">
        <v>396</v>
      </c>
      <c r="C418" t="str">
        <f>_xlfn.TEXTJOIN(",",TRUE, Employee[[#This Row],[Last Name]], Employee[[#This Row],[First Name]])</f>
        <v>Ellis, Brenda</v>
      </c>
      <c r="D418" t="s">
        <v>137</v>
      </c>
      <c r="E418" t="s">
        <v>843</v>
      </c>
      <c r="F418" s="61">
        <v>42003</v>
      </c>
      <c r="G418">
        <v>2</v>
      </c>
      <c r="H418" t="s">
        <v>185</v>
      </c>
      <c r="I418" s="62">
        <v>83272</v>
      </c>
      <c r="J418">
        <v>2</v>
      </c>
    </row>
    <row r="419" spans="1:10" hidden="1" x14ac:dyDescent="0.25">
      <c r="A419" t="s">
        <v>844</v>
      </c>
      <c r="B419" t="s">
        <v>845</v>
      </c>
      <c r="C419" t="str">
        <f>_xlfn.TEXTJOIN(",",TRUE, Employee[[#This Row],[Last Name]], Employee[[#This Row],[First Name]])</f>
        <v>Ballard, Martin</v>
      </c>
      <c r="D419" t="s">
        <v>178</v>
      </c>
      <c r="E419" t="s">
        <v>843</v>
      </c>
      <c r="F419" s="61">
        <v>40163</v>
      </c>
      <c r="G419">
        <v>7</v>
      </c>
      <c r="H419" t="s">
        <v>139</v>
      </c>
      <c r="I419" s="62">
        <v>62768</v>
      </c>
      <c r="J419">
        <v>3</v>
      </c>
    </row>
    <row r="420" spans="1:10" hidden="1" x14ac:dyDescent="0.25">
      <c r="A420" t="s">
        <v>846</v>
      </c>
      <c r="B420" t="s">
        <v>222</v>
      </c>
      <c r="C420" t="str">
        <f>_xlfn.TEXTJOIN(",",TRUE, Employee[[#This Row],[Last Name]], Employee[[#This Row],[First Name]])</f>
        <v>Reeves, Greg</v>
      </c>
      <c r="D420" t="s">
        <v>137</v>
      </c>
      <c r="E420" t="s">
        <v>843</v>
      </c>
      <c r="F420" s="61">
        <v>42019</v>
      </c>
      <c r="G420">
        <v>2</v>
      </c>
      <c r="H420" t="s">
        <v>139</v>
      </c>
      <c r="I420" s="62">
        <v>52114</v>
      </c>
      <c r="J420">
        <v>1</v>
      </c>
    </row>
    <row r="421" spans="1:10" hidden="1" x14ac:dyDescent="0.25">
      <c r="A421" t="s">
        <v>847</v>
      </c>
      <c r="B421" t="s">
        <v>198</v>
      </c>
      <c r="C421" t="str">
        <f>_xlfn.TEXTJOIN(",",TRUE, Employee[[#This Row],[Last Name]], Employee[[#This Row],[First Name]])</f>
        <v>Sutton, Matthew</v>
      </c>
      <c r="D421" t="s">
        <v>155</v>
      </c>
      <c r="E421" t="s">
        <v>843</v>
      </c>
      <c r="F421" s="61">
        <v>42025</v>
      </c>
      <c r="G421">
        <v>2</v>
      </c>
      <c r="H421" t="s">
        <v>139</v>
      </c>
      <c r="I421" s="62">
        <v>111847</v>
      </c>
      <c r="J421">
        <v>4</v>
      </c>
    </row>
    <row r="422" spans="1:10" hidden="1" x14ac:dyDescent="0.25">
      <c r="A422" t="s">
        <v>848</v>
      </c>
      <c r="B422" t="s">
        <v>849</v>
      </c>
      <c r="C422" t="str">
        <f>_xlfn.TEXTJOIN(",",TRUE, Employee[[#This Row],[Last Name]], Employee[[#This Row],[First Name]])</f>
        <v>Hancock, Allen</v>
      </c>
      <c r="D422" t="s">
        <v>155</v>
      </c>
      <c r="E422" t="s">
        <v>843</v>
      </c>
      <c r="F422" s="61">
        <v>40198</v>
      </c>
      <c r="G422">
        <v>7</v>
      </c>
      <c r="H422" t="s">
        <v>139</v>
      </c>
      <c r="I422" s="62">
        <v>115916</v>
      </c>
      <c r="J422">
        <v>3</v>
      </c>
    </row>
    <row r="423" spans="1:10" hidden="1" x14ac:dyDescent="0.25">
      <c r="A423" t="s">
        <v>850</v>
      </c>
      <c r="B423" t="s">
        <v>851</v>
      </c>
      <c r="C423" t="str">
        <f>_xlfn.TEXTJOIN(",",TRUE, Employee[[#This Row],[Last Name]], Employee[[#This Row],[First Name]])</f>
        <v>Mathews, Marcia</v>
      </c>
      <c r="D423" t="s">
        <v>151</v>
      </c>
      <c r="E423" t="s">
        <v>843</v>
      </c>
      <c r="F423" s="61">
        <v>40201</v>
      </c>
      <c r="G423">
        <v>7</v>
      </c>
      <c r="H423" t="s">
        <v>152</v>
      </c>
      <c r="I423" s="62">
        <v>96237</v>
      </c>
      <c r="J423">
        <v>2</v>
      </c>
    </row>
    <row r="424" spans="1:10" hidden="1" x14ac:dyDescent="0.25">
      <c r="A424" t="s">
        <v>852</v>
      </c>
      <c r="B424" t="s">
        <v>751</v>
      </c>
      <c r="C424" t="str">
        <f>_xlfn.TEXTJOIN(",",TRUE, Employee[[#This Row],[Last Name]], Employee[[#This Row],[First Name]])</f>
        <v>Saunders, Corey</v>
      </c>
      <c r="D424" t="s">
        <v>178</v>
      </c>
      <c r="E424" t="s">
        <v>843</v>
      </c>
      <c r="F424" s="61">
        <v>41324</v>
      </c>
      <c r="G424">
        <v>4</v>
      </c>
      <c r="H424" t="s">
        <v>185</v>
      </c>
      <c r="I424" s="62">
        <v>71913</v>
      </c>
      <c r="J424">
        <v>5</v>
      </c>
    </row>
    <row r="425" spans="1:10" x14ac:dyDescent="0.25">
      <c r="A425" t="s">
        <v>853</v>
      </c>
      <c r="B425" t="s">
        <v>618</v>
      </c>
      <c r="C425" t="str">
        <f>_xlfn.TEXTJOIN(",",TRUE, Employee[[#This Row],[Last Name]], Employee[[#This Row],[First Name]])</f>
        <v>Banks, Ryan</v>
      </c>
      <c r="D425" t="s">
        <v>161</v>
      </c>
      <c r="E425" t="s">
        <v>843</v>
      </c>
      <c r="F425" s="61">
        <v>38789</v>
      </c>
      <c r="G425">
        <v>11</v>
      </c>
      <c r="H425" t="s">
        <v>145</v>
      </c>
      <c r="I425" s="62">
        <v>70301</v>
      </c>
      <c r="J425">
        <v>2</v>
      </c>
    </row>
    <row r="426" spans="1:10" hidden="1" x14ac:dyDescent="0.25">
      <c r="A426" t="s">
        <v>854</v>
      </c>
      <c r="B426" t="s">
        <v>218</v>
      </c>
      <c r="C426" t="str">
        <f>_xlfn.TEXTJOIN(",",TRUE, Employee[[#This Row],[Last Name]], Employee[[#This Row],[First Name]])</f>
        <v>Fowler, John</v>
      </c>
      <c r="D426" t="s">
        <v>155</v>
      </c>
      <c r="E426" t="s">
        <v>843</v>
      </c>
      <c r="F426" s="61">
        <v>39885</v>
      </c>
      <c r="G426">
        <v>8</v>
      </c>
      <c r="H426" t="s">
        <v>139</v>
      </c>
      <c r="I426" s="62">
        <v>74004</v>
      </c>
      <c r="J426">
        <v>4</v>
      </c>
    </row>
    <row r="427" spans="1:10" hidden="1" x14ac:dyDescent="0.25">
      <c r="A427" t="s">
        <v>855</v>
      </c>
      <c r="B427" t="s">
        <v>147</v>
      </c>
      <c r="C427" t="str">
        <f>_xlfn.TEXTJOIN(",",TRUE, Employee[[#This Row],[Last Name]], Employee[[#This Row],[First Name]])</f>
        <v>Greer, Brian</v>
      </c>
      <c r="D427" t="s">
        <v>148</v>
      </c>
      <c r="E427" t="s">
        <v>843</v>
      </c>
      <c r="F427" s="61">
        <v>41698</v>
      </c>
      <c r="G427">
        <v>3</v>
      </c>
      <c r="H427" t="s">
        <v>145</v>
      </c>
      <c r="I427" s="62">
        <v>115347</v>
      </c>
      <c r="J427">
        <v>1</v>
      </c>
    </row>
    <row r="428" spans="1:10" x14ac:dyDescent="0.25">
      <c r="A428" t="s">
        <v>856</v>
      </c>
      <c r="B428" t="s">
        <v>429</v>
      </c>
      <c r="C428" t="str">
        <f>_xlfn.TEXTJOIN(",",TRUE, Employee[[#This Row],[Last Name]], Employee[[#This Row],[First Name]])</f>
        <v>Garrison, Chris</v>
      </c>
      <c r="D428" t="s">
        <v>155</v>
      </c>
      <c r="E428" t="s">
        <v>843</v>
      </c>
      <c r="F428" s="61">
        <v>36981</v>
      </c>
      <c r="G428">
        <v>16</v>
      </c>
      <c r="H428" t="s">
        <v>139</v>
      </c>
      <c r="I428" s="62">
        <v>51697</v>
      </c>
      <c r="J428">
        <v>5</v>
      </c>
    </row>
    <row r="429" spans="1:10" x14ac:dyDescent="0.25">
      <c r="A429" t="s">
        <v>857</v>
      </c>
      <c r="B429" t="s">
        <v>858</v>
      </c>
      <c r="C429" t="str">
        <f>_xlfn.TEXTJOIN(",",TRUE, Employee[[#This Row],[Last Name]], Employee[[#This Row],[First Name]])</f>
        <v>Pace, Joseph</v>
      </c>
      <c r="D429" t="s">
        <v>161</v>
      </c>
      <c r="E429" t="s">
        <v>843</v>
      </c>
      <c r="F429" s="61">
        <v>37701</v>
      </c>
      <c r="G429">
        <v>14</v>
      </c>
      <c r="H429" t="s">
        <v>145</v>
      </c>
      <c r="I429" s="62">
        <v>55969</v>
      </c>
      <c r="J429">
        <v>1</v>
      </c>
    </row>
    <row r="430" spans="1:10" hidden="1" x14ac:dyDescent="0.25">
      <c r="A430" t="s">
        <v>859</v>
      </c>
      <c r="B430" t="s">
        <v>860</v>
      </c>
      <c r="C430" t="str">
        <f>_xlfn.TEXTJOIN(",",TRUE, Employee[[#This Row],[Last Name]], Employee[[#This Row],[First Name]])</f>
        <v>Skinner, Jason</v>
      </c>
      <c r="D430" t="s">
        <v>161</v>
      </c>
      <c r="E430" t="s">
        <v>843</v>
      </c>
      <c r="F430" s="61">
        <v>40302</v>
      </c>
      <c r="G430">
        <v>7</v>
      </c>
      <c r="H430" t="s">
        <v>185</v>
      </c>
      <c r="I430" s="62">
        <v>66292</v>
      </c>
      <c r="J430">
        <v>5</v>
      </c>
    </row>
    <row r="431" spans="1:10" x14ac:dyDescent="0.25">
      <c r="A431" t="s">
        <v>861</v>
      </c>
      <c r="B431" t="s">
        <v>662</v>
      </c>
      <c r="C431" t="str">
        <f>_xlfn.TEXTJOIN(",",TRUE, Employee[[#This Row],[Last Name]], Employee[[#This Row],[First Name]])</f>
        <v>Dudley, James</v>
      </c>
      <c r="D431" t="s">
        <v>178</v>
      </c>
      <c r="E431" t="s">
        <v>843</v>
      </c>
      <c r="F431" s="61">
        <v>36999</v>
      </c>
      <c r="G431">
        <v>16</v>
      </c>
      <c r="H431" t="s">
        <v>145</v>
      </c>
      <c r="I431" s="62">
        <v>102285</v>
      </c>
      <c r="J431">
        <v>4</v>
      </c>
    </row>
    <row r="432" spans="1:10" hidden="1" x14ac:dyDescent="0.25">
      <c r="A432" t="s">
        <v>862</v>
      </c>
      <c r="B432" t="s">
        <v>472</v>
      </c>
      <c r="C432" t="str">
        <f>_xlfn.TEXTJOIN(",",TRUE, Employee[[#This Row],[Last Name]], Employee[[#This Row],[First Name]])</f>
        <v>Floyd, Eric</v>
      </c>
      <c r="D432" t="s">
        <v>148</v>
      </c>
      <c r="E432" t="s">
        <v>843</v>
      </c>
      <c r="F432" s="61">
        <v>40694</v>
      </c>
      <c r="G432">
        <v>6</v>
      </c>
      <c r="H432" t="s">
        <v>145</v>
      </c>
      <c r="I432" s="62">
        <v>48437</v>
      </c>
      <c r="J432">
        <v>2</v>
      </c>
    </row>
    <row r="433" spans="1:10" x14ac:dyDescent="0.25">
      <c r="A433" t="s">
        <v>863</v>
      </c>
      <c r="B433" t="s">
        <v>425</v>
      </c>
      <c r="C433" t="str">
        <f>_xlfn.TEXTJOIN(",",TRUE, Employee[[#This Row],[Last Name]], Employee[[#This Row],[First Name]])</f>
        <v>Russell, Mark</v>
      </c>
      <c r="D433" t="s">
        <v>161</v>
      </c>
      <c r="E433" t="s">
        <v>843</v>
      </c>
      <c r="F433" s="61">
        <v>37047</v>
      </c>
      <c r="G433">
        <v>16</v>
      </c>
      <c r="H433" t="s">
        <v>139</v>
      </c>
      <c r="I433" s="62">
        <v>114318</v>
      </c>
      <c r="J433">
        <v>5</v>
      </c>
    </row>
    <row r="434" spans="1:10" x14ac:dyDescent="0.25">
      <c r="A434" t="s">
        <v>864</v>
      </c>
      <c r="B434" t="s">
        <v>248</v>
      </c>
      <c r="C434" t="str">
        <f>_xlfn.TEXTJOIN(",",TRUE, Employee[[#This Row],[Last Name]], Employee[[#This Row],[First Name]])</f>
        <v>Chandler, Diane</v>
      </c>
      <c r="D434" t="s">
        <v>161</v>
      </c>
      <c r="E434" t="s">
        <v>843</v>
      </c>
      <c r="F434" s="61">
        <v>37407</v>
      </c>
      <c r="G434">
        <v>15</v>
      </c>
      <c r="H434" t="s">
        <v>145</v>
      </c>
      <c r="I434" s="62">
        <v>100125</v>
      </c>
      <c r="J434">
        <v>1</v>
      </c>
    </row>
    <row r="435" spans="1:10" x14ac:dyDescent="0.25">
      <c r="A435" t="s">
        <v>865</v>
      </c>
      <c r="B435" t="s">
        <v>384</v>
      </c>
      <c r="C435" t="str">
        <f>_xlfn.TEXTJOIN(",",TRUE, Employee[[#This Row],[Last Name]], Employee[[#This Row],[First Name]])</f>
        <v>Mosley, Michael</v>
      </c>
      <c r="D435" t="s">
        <v>155</v>
      </c>
      <c r="E435" t="s">
        <v>843</v>
      </c>
      <c r="F435" s="61">
        <v>37773</v>
      </c>
      <c r="G435">
        <v>14</v>
      </c>
      <c r="H435" t="s">
        <v>185</v>
      </c>
      <c r="I435" s="62">
        <v>52926</v>
      </c>
      <c r="J435">
        <v>1</v>
      </c>
    </row>
    <row r="436" spans="1:10" x14ac:dyDescent="0.25">
      <c r="A436" t="s">
        <v>866</v>
      </c>
      <c r="B436" t="s">
        <v>867</v>
      </c>
      <c r="C436" t="str">
        <f>_xlfn.TEXTJOIN(",",TRUE, Employee[[#This Row],[Last Name]], Employee[[#This Row],[First Name]])</f>
        <v>Robbins, Suzanne</v>
      </c>
      <c r="D436" t="s">
        <v>155</v>
      </c>
      <c r="E436" t="s">
        <v>843</v>
      </c>
      <c r="F436" s="61">
        <v>39222</v>
      </c>
      <c r="G436">
        <v>10</v>
      </c>
      <c r="H436" t="s">
        <v>145</v>
      </c>
      <c r="I436" s="62">
        <v>90081</v>
      </c>
      <c r="J436">
        <v>4</v>
      </c>
    </row>
    <row r="437" spans="1:10" hidden="1" x14ac:dyDescent="0.25">
      <c r="A437" t="s">
        <v>868</v>
      </c>
      <c r="B437" t="s">
        <v>198</v>
      </c>
      <c r="C437" t="str">
        <f>_xlfn.TEXTJOIN(",",TRUE, Employee[[#This Row],[Last Name]], Employee[[#This Row],[First Name]])</f>
        <v>Walsh, Matthew</v>
      </c>
      <c r="D437" t="s">
        <v>155</v>
      </c>
      <c r="E437" t="s">
        <v>843</v>
      </c>
      <c r="F437" s="61">
        <v>42194</v>
      </c>
      <c r="G437">
        <v>2</v>
      </c>
      <c r="H437" t="s">
        <v>145</v>
      </c>
      <c r="I437" s="62">
        <v>61736</v>
      </c>
      <c r="J437">
        <v>1</v>
      </c>
    </row>
    <row r="438" spans="1:10" hidden="1" x14ac:dyDescent="0.25">
      <c r="A438" t="s">
        <v>869</v>
      </c>
      <c r="B438" t="s">
        <v>870</v>
      </c>
      <c r="C438" t="str">
        <f>_xlfn.TEXTJOIN(",",TRUE, Employee[[#This Row],[Last Name]], Employee[[#This Row],[First Name]])</f>
        <v>Morris, Richelle</v>
      </c>
      <c r="D438" t="s">
        <v>161</v>
      </c>
      <c r="E438" t="s">
        <v>843</v>
      </c>
      <c r="F438" s="61">
        <v>40362</v>
      </c>
      <c r="G438">
        <v>7</v>
      </c>
      <c r="H438" t="s">
        <v>139</v>
      </c>
      <c r="I438" s="62">
        <v>72484</v>
      </c>
      <c r="J438">
        <v>5</v>
      </c>
    </row>
    <row r="439" spans="1:10" hidden="1" x14ac:dyDescent="0.25">
      <c r="A439" t="s">
        <v>871</v>
      </c>
      <c r="B439" t="s">
        <v>147</v>
      </c>
      <c r="C439" t="str">
        <f>_xlfn.TEXTJOIN(",",TRUE, Employee[[#This Row],[Last Name]], Employee[[#This Row],[First Name]])</f>
        <v>Hess, Brian</v>
      </c>
      <c r="D439" t="s">
        <v>155</v>
      </c>
      <c r="E439" t="s">
        <v>843</v>
      </c>
      <c r="F439" s="61">
        <v>39994</v>
      </c>
      <c r="G439">
        <v>8</v>
      </c>
      <c r="H439" t="s">
        <v>142</v>
      </c>
      <c r="I439" s="62">
        <v>54040</v>
      </c>
      <c r="J439">
        <v>2</v>
      </c>
    </row>
    <row r="440" spans="1:10" hidden="1" x14ac:dyDescent="0.25">
      <c r="A440" t="s">
        <v>872</v>
      </c>
      <c r="B440" t="s">
        <v>191</v>
      </c>
      <c r="C440" t="str">
        <f>_xlfn.TEXTJOIN(",",TRUE, Employee[[#This Row],[Last Name]], Employee[[#This Row],[First Name]])</f>
        <v>McClain, Steven</v>
      </c>
      <c r="D440" t="s">
        <v>137</v>
      </c>
      <c r="E440" t="s">
        <v>843</v>
      </c>
      <c r="F440" s="61">
        <v>40735</v>
      </c>
      <c r="G440">
        <v>6</v>
      </c>
      <c r="H440" t="s">
        <v>168</v>
      </c>
      <c r="I440" s="62">
        <v>119430</v>
      </c>
      <c r="J440">
        <v>1</v>
      </c>
    </row>
    <row r="441" spans="1:10" hidden="1" x14ac:dyDescent="0.25">
      <c r="A441" t="s">
        <v>873</v>
      </c>
      <c r="B441" t="s">
        <v>429</v>
      </c>
      <c r="C441" t="str">
        <f>_xlfn.TEXTJOIN(",",TRUE, Employee[[#This Row],[Last Name]], Employee[[#This Row],[First Name]])</f>
        <v>Bennett, Chris</v>
      </c>
      <c r="D441" t="s">
        <v>148</v>
      </c>
      <c r="E441" t="s">
        <v>843</v>
      </c>
      <c r="F441" s="61">
        <v>41448</v>
      </c>
      <c r="G441">
        <v>4</v>
      </c>
      <c r="H441" t="s">
        <v>139</v>
      </c>
      <c r="I441" s="62">
        <v>81269</v>
      </c>
      <c r="J441">
        <v>4</v>
      </c>
    </row>
    <row r="442" spans="1:10" hidden="1" x14ac:dyDescent="0.25">
      <c r="A442" t="s">
        <v>874</v>
      </c>
      <c r="B442" t="s">
        <v>136</v>
      </c>
      <c r="C442" t="str">
        <f>_xlfn.TEXTJOIN(",",TRUE, Employee[[#This Row],[Last Name]], Employee[[#This Row],[First Name]])</f>
        <v>Hodges, Lisa</v>
      </c>
      <c r="D442" t="s">
        <v>155</v>
      </c>
      <c r="E442" t="s">
        <v>843</v>
      </c>
      <c r="F442" s="61">
        <v>41840</v>
      </c>
      <c r="G442">
        <v>3</v>
      </c>
      <c r="H442" t="s">
        <v>152</v>
      </c>
      <c r="I442" s="62">
        <v>88867</v>
      </c>
      <c r="J442">
        <v>5</v>
      </c>
    </row>
    <row r="443" spans="1:10" x14ac:dyDescent="0.25">
      <c r="A443" t="s">
        <v>875</v>
      </c>
      <c r="B443" t="s">
        <v>429</v>
      </c>
      <c r="C443" t="str">
        <f>_xlfn.TEXTJOIN(",",TRUE, Employee[[#This Row],[Last Name]], Employee[[#This Row],[First Name]])</f>
        <v>Bauer, Chris</v>
      </c>
      <c r="D443" t="s">
        <v>137</v>
      </c>
      <c r="E443" t="s">
        <v>843</v>
      </c>
      <c r="F443" s="61">
        <v>38548</v>
      </c>
      <c r="G443">
        <v>12</v>
      </c>
      <c r="H443" t="s">
        <v>139</v>
      </c>
      <c r="I443" s="62">
        <v>122122</v>
      </c>
      <c r="J443">
        <v>5</v>
      </c>
    </row>
    <row r="444" spans="1:10" x14ac:dyDescent="0.25">
      <c r="A444" t="s">
        <v>876</v>
      </c>
      <c r="B444" t="s">
        <v>877</v>
      </c>
      <c r="C444" t="str">
        <f>_xlfn.TEXTJOIN(",",TRUE, Employee[[#This Row],[Last Name]], Employee[[#This Row],[First Name]])</f>
        <v>Best, Lara</v>
      </c>
      <c r="D444" t="s">
        <v>161</v>
      </c>
      <c r="E444" t="s">
        <v>843</v>
      </c>
      <c r="F444" s="61">
        <v>39305</v>
      </c>
      <c r="G444">
        <v>10</v>
      </c>
      <c r="H444" t="s">
        <v>185</v>
      </c>
      <c r="I444" s="62">
        <v>121549</v>
      </c>
      <c r="J444">
        <v>3</v>
      </c>
    </row>
    <row r="445" spans="1:10" hidden="1" x14ac:dyDescent="0.25">
      <c r="A445" t="s">
        <v>878</v>
      </c>
      <c r="B445" t="s">
        <v>307</v>
      </c>
      <c r="C445" t="str">
        <f>_xlfn.TEXTJOIN(",",TRUE, Employee[[#This Row],[Last Name]], Employee[[#This Row],[First Name]])</f>
        <v>Guerrero, Laura</v>
      </c>
      <c r="D445" t="s">
        <v>148</v>
      </c>
      <c r="E445" t="s">
        <v>843</v>
      </c>
      <c r="F445" s="61">
        <v>40377</v>
      </c>
      <c r="G445">
        <v>7</v>
      </c>
      <c r="H445" t="s">
        <v>168</v>
      </c>
      <c r="I445" s="62">
        <v>119928</v>
      </c>
      <c r="J445">
        <v>3</v>
      </c>
    </row>
    <row r="446" spans="1:10" hidden="1" x14ac:dyDescent="0.25">
      <c r="A446" t="s">
        <v>879</v>
      </c>
      <c r="B446" t="s">
        <v>680</v>
      </c>
      <c r="C446" t="str">
        <f>_xlfn.TEXTJOIN(",",TRUE, Employee[[#This Row],[Last Name]], Employee[[#This Row],[First Name]])</f>
        <v>Murray, Rebecca</v>
      </c>
      <c r="D446" t="s">
        <v>151</v>
      </c>
      <c r="E446" t="s">
        <v>843</v>
      </c>
      <c r="F446" s="61">
        <v>40756</v>
      </c>
      <c r="G446">
        <v>6</v>
      </c>
      <c r="H446" t="s">
        <v>185</v>
      </c>
      <c r="I446" s="62">
        <v>79427</v>
      </c>
      <c r="J446">
        <v>2</v>
      </c>
    </row>
    <row r="447" spans="1:10" hidden="1" x14ac:dyDescent="0.25">
      <c r="A447" t="s">
        <v>880</v>
      </c>
      <c r="B447" t="s">
        <v>291</v>
      </c>
      <c r="C447" t="str">
        <f>_xlfn.TEXTJOIN(",",TRUE, Employee[[#This Row],[Last Name]], Employee[[#This Row],[First Name]])</f>
        <v>Anthony, Robert</v>
      </c>
      <c r="D447" t="s">
        <v>151</v>
      </c>
      <c r="E447" t="s">
        <v>843</v>
      </c>
      <c r="F447" s="61">
        <v>41471</v>
      </c>
      <c r="G447">
        <v>4</v>
      </c>
      <c r="H447" t="s">
        <v>139</v>
      </c>
      <c r="I447" s="62">
        <v>117406</v>
      </c>
      <c r="J447">
        <v>1</v>
      </c>
    </row>
    <row r="448" spans="1:10" hidden="1" x14ac:dyDescent="0.25">
      <c r="A448" t="s">
        <v>881</v>
      </c>
      <c r="B448" t="s">
        <v>622</v>
      </c>
      <c r="C448" t="str">
        <f>_xlfn.TEXTJOIN(",",TRUE, Employee[[#This Row],[Last Name]], Employee[[#This Row],[First Name]])</f>
        <v>Sawyer, Catherine</v>
      </c>
      <c r="D448" t="s">
        <v>137</v>
      </c>
      <c r="E448" t="s">
        <v>843</v>
      </c>
      <c r="F448" s="61">
        <v>41481</v>
      </c>
      <c r="G448">
        <v>4</v>
      </c>
      <c r="H448" t="s">
        <v>145</v>
      </c>
      <c r="I448" s="62">
        <v>72549</v>
      </c>
      <c r="J448">
        <v>5</v>
      </c>
    </row>
    <row r="449" spans="1:10" hidden="1" x14ac:dyDescent="0.25">
      <c r="A449" t="s">
        <v>882</v>
      </c>
      <c r="B449" t="s">
        <v>883</v>
      </c>
      <c r="C449" t="str">
        <f>_xlfn.TEXTJOIN(",",TRUE, Employee[[#This Row],[Last Name]], Employee[[#This Row],[First Name]])</f>
        <v>Alvarado, Sonia</v>
      </c>
      <c r="D449" t="s">
        <v>161</v>
      </c>
      <c r="E449" t="s">
        <v>843</v>
      </c>
      <c r="F449" s="61">
        <v>41885</v>
      </c>
      <c r="G449">
        <v>3</v>
      </c>
      <c r="H449" t="s">
        <v>142</v>
      </c>
      <c r="I449" s="62">
        <v>86617</v>
      </c>
      <c r="J449">
        <v>4</v>
      </c>
    </row>
    <row r="450" spans="1:10" hidden="1" x14ac:dyDescent="0.25">
      <c r="A450" t="s">
        <v>884</v>
      </c>
      <c r="B450" t="s">
        <v>770</v>
      </c>
      <c r="C450" t="str">
        <f>_xlfn.TEXTJOIN(",",TRUE, Employee[[#This Row],[Last Name]], Employee[[#This Row],[First Name]])</f>
        <v>Olson, Melanie</v>
      </c>
      <c r="D450" t="s">
        <v>155</v>
      </c>
      <c r="E450" t="s">
        <v>843</v>
      </c>
      <c r="F450" s="61">
        <v>42261</v>
      </c>
      <c r="G450">
        <v>2</v>
      </c>
      <c r="H450" t="s">
        <v>168</v>
      </c>
      <c r="I450" s="62">
        <v>69672</v>
      </c>
      <c r="J450">
        <v>2</v>
      </c>
    </row>
    <row r="451" spans="1:10" hidden="1" x14ac:dyDescent="0.25">
      <c r="A451" t="s">
        <v>885</v>
      </c>
      <c r="B451" t="s">
        <v>373</v>
      </c>
      <c r="C451" t="str">
        <f>_xlfn.TEXTJOIN(",",TRUE, Employee[[#This Row],[Last Name]], Employee[[#This Row],[First Name]])</f>
        <v>Peterson, Shaun</v>
      </c>
      <c r="D451" t="s">
        <v>161</v>
      </c>
      <c r="E451" t="s">
        <v>843</v>
      </c>
      <c r="F451" s="61">
        <v>42264</v>
      </c>
      <c r="G451">
        <v>2</v>
      </c>
      <c r="H451" t="s">
        <v>168</v>
      </c>
      <c r="I451" s="62">
        <v>56971</v>
      </c>
      <c r="J451">
        <v>3</v>
      </c>
    </row>
    <row r="452" spans="1:10" hidden="1" x14ac:dyDescent="0.25">
      <c r="A452" t="s">
        <v>886</v>
      </c>
      <c r="B452" t="s">
        <v>800</v>
      </c>
      <c r="C452" t="str">
        <f>_xlfn.TEXTJOIN(",",TRUE, Employee[[#This Row],[Last Name]], Employee[[#This Row],[First Name]])</f>
        <v>Orr, Jennifer</v>
      </c>
      <c r="D452" t="s">
        <v>148</v>
      </c>
      <c r="E452" t="s">
        <v>843</v>
      </c>
      <c r="F452" s="61">
        <v>40809</v>
      </c>
      <c r="G452">
        <v>6</v>
      </c>
      <c r="H452" t="s">
        <v>139</v>
      </c>
      <c r="I452" s="62">
        <v>122589</v>
      </c>
      <c r="J452">
        <v>1</v>
      </c>
    </row>
    <row r="453" spans="1:10" hidden="1" x14ac:dyDescent="0.25">
      <c r="A453" t="s">
        <v>887</v>
      </c>
      <c r="B453" t="s">
        <v>680</v>
      </c>
      <c r="C453" t="str">
        <f>_xlfn.TEXTJOIN(",",TRUE, Employee[[#This Row],[Last Name]], Employee[[#This Row],[First Name]])</f>
        <v>Cline, Rebecca</v>
      </c>
      <c r="D453" t="s">
        <v>137</v>
      </c>
      <c r="E453" t="s">
        <v>843</v>
      </c>
      <c r="F453" s="61">
        <v>41530</v>
      </c>
      <c r="G453">
        <v>4</v>
      </c>
      <c r="H453" t="s">
        <v>185</v>
      </c>
      <c r="I453" s="62">
        <v>81656</v>
      </c>
      <c r="J453">
        <v>1</v>
      </c>
    </row>
    <row r="454" spans="1:10" hidden="1" x14ac:dyDescent="0.25">
      <c r="A454" t="s">
        <v>888</v>
      </c>
      <c r="B454" t="s">
        <v>889</v>
      </c>
      <c r="C454" t="str">
        <f>_xlfn.TEXTJOIN(",",TRUE, Employee[[#This Row],[Last Name]], Employee[[#This Row],[First Name]])</f>
        <v>Hines, Herb</v>
      </c>
      <c r="D454" t="s">
        <v>161</v>
      </c>
      <c r="E454" t="s">
        <v>843</v>
      </c>
      <c r="F454" s="61">
        <v>41530</v>
      </c>
      <c r="G454">
        <v>4</v>
      </c>
      <c r="H454" t="s">
        <v>145</v>
      </c>
      <c r="I454" s="62">
        <v>93784</v>
      </c>
      <c r="J454">
        <v>3</v>
      </c>
    </row>
    <row r="455" spans="1:10" hidden="1" x14ac:dyDescent="0.25">
      <c r="A455" t="s">
        <v>890</v>
      </c>
      <c r="B455" t="s">
        <v>559</v>
      </c>
      <c r="C455" t="str">
        <f>_xlfn.TEXTJOIN(",",TRUE, Employee[[#This Row],[Last Name]], Employee[[#This Row],[First Name]])</f>
        <v>Underwood, Todd</v>
      </c>
      <c r="D455" t="s">
        <v>148</v>
      </c>
      <c r="E455" t="s">
        <v>843</v>
      </c>
      <c r="F455" s="61">
        <v>41546</v>
      </c>
      <c r="G455">
        <v>4</v>
      </c>
      <c r="H455" t="s">
        <v>145</v>
      </c>
      <c r="I455" s="62">
        <v>57743</v>
      </c>
      <c r="J455">
        <v>4</v>
      </c>
    </row>
    <row r="456" spans="1:10" hidden="1" x14ac:dyDescent="0.25">
      <c r="A456" t="s">
        <v>891</v>
      </c>
      <c r="B456" t="s">
        <v>256</v>
      </c>
      <c r="C456" t="str">
        <f>_xlfn.TEXTJOIN(",",TRUE, Employee[[#This Row],[Last Name]], Employee[[#This Row],[First Name]])</f>
        <v>Terry, Karin</v>
      </c>
      <c r="D456" t="s">
        <v>155</v>
      </c>
      <c r="E456" t="s">
        <v>843</v>
      </c>
      <c r="F456" s="61">
        <v>42311</v>
      </c>
      <c r="G456">
        <v>1</v>
      </c>
      <c r="H456" t="s">
        <v>142</v>
      </c>
      <c r="I456" s="62">
        <v>119082</v>
      </c>
      <c r="J456">
        <v>1</v>
      </c>
    </row>
    <row r="457" spans="1:10" hidden="1" x14ac:dyDescent="0.25">
      <c r="A457" t="s">
        <v>892</v>
      </c>
      <c r="B457" t="s">
        <v>893</v>
      </c>
      <c r="C457" t="str">
        <f>_xlfn.TEXTJOIN(",",TRUE, Employee[[#This Row],[Last Name]], Employee[[#This Row],[First Name]])</f>
        <v>Yates, Doug</v>
      </c>
      <c r="D457" t="s">
        <v>155</v>
      </c>
      <c r="E457" t="s">
        <v>843</v>
      </c>
      <c r="F457" s="61">
        <v>41570</v>
      </c>
      <c r="G457">
        <v>3</v>
      </c>
      <c r="H457" t="s">
        <v>168</v>
      </c>
      <c r="I457" s="62">
        <v>74560</v>
      </c>
      <c r="J457">
        <v>4</v>
      </c>
    </row>
    <row r="458" spans="1:10" hidden="1" x14ac:dyDescent="0.25">
      <c r="A458" t="s">
        <v>894</v>
      </c>
      <c r="B458" t="s">
        <v>895</v>
      </c>
      <c r="C458" t="str">
        <f>_xlfn.TEXTJOIN(",",TRUE, Employee[[#This Row],[Last Name]], Employee[[#This Row],[First Name]])</f>
        <v>Luna, Rodney</v>
      </c>
      <c r="D458" t="s">
        <v>155</v>
      </c>
      <c r="E458" t="s">
        <v>843</v>
      </c>
      <c r="F458" s="61">
        <v>40482</v>
      </c>
      <c r="G458">
        <v>6</v>
      </c>
      <c r="H458" t="s">
        <v>152</v>
      </c>
      <c r="I458" s="62">
        <v>112299</v>
      </c>
      <c r="J458">
        <v>4</v>
      </c>
    </row>
    <row r="459" spans="1:10" hidden="1" x14ac:dyDescent="0.25">
      <c r="A459" t="s">
        <v>896</v>
      </c>
      <c r="B459" t="s">
        <v>206</v>
      </c>
      <c r="C459" t="str">
        <f>_xlfn.TEXTJOIN(",",TRUE, Employee[[#This Row],[Last Name]], Employee[[#This Row],[First Name]])</f>
        <v>Wong, Dennis</v>
      </c>
      <c r="D459" t="s">
        <v>161</v>
      </c>
      <c r="E459" t="s">
        <v>843</v>
      </c>
      <c r="F459" s="61">
        <v>41961</v>
      </c>
      <c r="G459">
        <v>2</v>
      </c>
      <c r="H459" t="s">
        <v>139</v>
      </c>
      <c r="I459" s="62">
        <v>125668</v>
      </c>
      <c r="J459">
        <v>5</v>
      </c>
    </row>
    <row r="460" spans="1:10" hidden="1" x14ac:dyDescent="0.25">
      <c r="A460" t="s">
        <v>897</v>
      </c>
      <c r="B460" t="s">
        <v>898</v>
      </c>
      <c r="C460" t="str">
        <f>_xlfn.TEXTJOIN(",",TRUE, Employee[[#This Row],[Last Name]], Employee[[#This Row],[First Name]])</f>
        <v>Mack, Barry</v>
      </c>
      <c r="D460" t="s">
        <v>161</v>
      </c>
      <c r="E460" t="s">
        <v>843</v>
      </c>
      <c r="F460" s="61">
        <v>41603</v>
      </c>
      <c r="G460">
        <v>3</v>
      </c>
      <c r="H460" t="s">
        <v>142</v>
      </c>
      <c r="I460" s="62">
        <v>118895</v>
      </c>
      <c r="J460">
        <v>4</v>
      </c>
    </row>
    <row r="461" spans="1:10" hidden="1" x14ac:dyDescent="0.25">
      <c r="A461" t="s">
        <v>899</v>
      </c>
      <c r="B461" t="s">
        <v>488</v>
      </c>
      <c r="C461" t="str">
        <f>_xlfn.TEXTJOIN(",",TRUE, Employee[[#This Row],[Last Name]], Employee[[#This Row],[First Name]])</f>
        <v>Guerra, Karen</v>
      </c>
      <c r="D461" t="s">
        <v>178</v>
      </c>
      <c r="E461" t="s">
        <v>843</v>
      </c>
      <c r="F461" s="61">
        <v>40861</v>
      </c>
      <c r="G461">
        <v>5</v>
      </c>
      <c r="H461" t="s">
        <v>145</v>
      </c>
      <c r="I461" s="62">
        <v>51784</v>
      </c>
      <c r="J461">
        <v>3</v>
      </c>
    </row>
    <row r="462" spans="1:10" hidden="1" x14ac:dyDescent="0.25">
      <c r="A462" t="s">
        <v>900</v>
      </c>
      <c r="B462" t="s">
        <v>898</v>
      </c>
      <c r="C462" t="str">
        <f>_xlfn.TEXTJOIN(",",TRUE, Employee[[#This Row],[Last Name]], Employee[[#This Row],[First Name]])</f>
        <v>Barton, Barry</v>
      </c>
      <c r="D462" t="s">
        <v>155</v>
      </c>
      <c r="E462" t="s">
        <v>901</v>
      </c>
      <c r="F462" s="61">
        <v>41629</v>
      </c>
      <c r="G462">
        <v>3</v>
      </c>
      <c r="H462" t="s">
        <v>139</v>
      </c>
      <c r="I462" s="62">
        <v>88343</v>
      </c>
      <c r="J462">
        <v>1</v>
      </c>
    </row>
    <row r="463" spans="1:10" hidden="1" x14ac:dyDescent="0.25">
      <c r="A463" t="s">
        <v>902</v>
      </c>
      <c r="B463" t="s">
        <v>218</v>
      </c>
      <c r="C463" t="str">
        <f>_xlfn.TEXTJOIN(",",TRUE, Employee[[#This Row],[Last Name]], Employee[[#This Row],[First Name]])</f>
        <v>Gentry, John</v>
      </c>
      <c r="D463" t="s">
        <v>155</v>
      </c>
      <c r="E463" t="s">
        <v>901</v>
      </c>
      <c r="F463" s="61">
        <v>41663</v>
      </c>
      <c r="G463">
        <v>3</v>
      </c>
      <c r="H463" t="s">
        <v>139</v>
      </c>
      <c r="I463" s="62">
        <v>124288</v>
      </c>
      <c r="J463">
        <v>4</v>
      </c>
    </row>
    <row r="464" spans="1:10" hidden="1" x14ac:dyDescent="0.25">
      <c r="A464" t="s">
        <v>903</v>
      </c>
      <c r="B464" t="s">
        <v>386</v>
      </c>
      <c r="C464" t="str">
        <f>_xlfn.TEXTJOIN(",",TRUE, Employee[[#This Row],[Last Name]], Employee[[#This Row],[First Name]])</f>
        <v>Williams, Scott</v>
      </c>
      <c r="D464" t="s">
        <v>148</v>
      </c>
      <c r="E464" t="s">
        <v>901</v>
      </c>
      <c r="F464" s="61">
        <v>41669</v>
      </c>
      <c r="G464">
        <v>3</v>
      </c>
      <c r="H464" t="s">
        <v>145</v>
      </c>
      <c r="I464" s="62">
        <v>126925</v>
      </c>
      <c r="J464">
        <v>3</v>
      </c>
    </row>
    <row r="465" spans="1:10" hidden="1" x14ac:dyDescent="0.25">
      <c r="A465" t="s">
        <v>904</v>
      </c>
      <c r="B465" t="s">
        <v>218</v>
      </c>
      <c r="C465" t="str">
        <f>_xlfn.TEXTJOIN(",",TRUE, Employee[[#This Row],[Last Name]], Employee[[#This Row],[First Name]])</f>
        <v>Lamb, John</v>
      </c>
      <c r="D465" t="s">
        <v>161</v>
      </c>
      <c r="E465" t="s">
        <v>901</v>
      </c>
      <c r="F465" s="61">
        <v>41703</v>
      </c>
      <c r="G465">
        <v>3</v>
      </c>
      <c r="H465" t="s">
        <v>168</v>
      </c>
      <c r="I465" s="62">
        <v>82275</v>
      </c>
      <c r="J465">
        <v>3</v>
      </c>
    </row>
    <row r="466" spans="1:10" hidden="1" x14ac:dyDescent="0.25">
      <c r="A466" t="s">
        <v>905</v>
      </c>
      <c r="B466" t="s">
        <v>659</v>
      </c>
      <c r="C466" t="str">
        <f>_xlfn.TEXTJOIN(",",TRUE, Employee[[#This Row],[Last Name]], Employee[[#This Row],[First Name]])</f>
        <v>Parsons, Phillip</v>
      </c>
      <c r="D466" t="s">
        <v>155</v>
      </c>
      <c r="E466" t="s">
        <v>901</v>
      </c>
      <c r="F466" s="61">
        <v>41732</v>
      </c>
      <c r="G466">
        <v>3</v>
      </c>
      <c r="H466" t="s">
        <v>168</v>
      </c>
      <c r="I466" s="62">
        <v>52543</v>
      </c>
      <c r="J466">
        <v>3</v>
      </c>
    </row>
    <row r="467" spans="1:10" hidden="1" x14ac:dyDescent="0.25">
      <c r="A467" t="s">
        <v>906</v>
      </c>
      <c r="B467" t="s">
        <v>907</v>
      </c>
      <c r="C467" t="str">
        <f>_xlfn.TEXTJOIN(",",TRUE, Employee[[#This Row],[Last Name]], Employee[[#This Row],[First Name]])</f>
        <v>Contreras, Dean</v>
      </c>
      <c r="D467" t="s">
        <v>161</v>
      </c>
      <c r="E467" t="s">
        <v>901</v>
      </c>
      <c r="F467" s="61">
        <v>41823</v>
      </c>
      <c r="G467">
        <v>3</v>
      </c>
      <c r="H467" t="s">
        <v>139</v>
      </c>
      <c r="I467" s="62">
        <v>117715</v>
      </c>
      <c r="J467">
        <v>5</v>
      </c>
    </row>
    <row r="468" spans="1:10" hidden="1" x14ac:dyDescent="0.25">
      <c r="A468" t="s">
        <v>908</v>
      </c>
      <c r="B468" t="s">
        <v>405</v>
      </c>
      <c r="C468" t="str">
        <f>_xlfn.TEXTJOIN(",",TRUE, Employee[[#This Row],[Last Name]], Employee[[#This Row],[First Name]])</f>
        <v>Dodson, David</v>
      </c>
      <c r="D468" t="s">
        <v>155</v>
      </c>
      <c r="E468" t="s">
        <v>901</v>
      </c>
      <c r="F468" s="61">
        <v>40765</v>
      </c>
      <c r="G468">
        <v>6</v>
      </c>
      <c r="H468" t="s">
        <v>152</v>
      </c>
      <c r="I468" s="62">
        <v>74910</v>
      </c>
      <c r="J468">
        <v>1</v>
      </c>
    </row>
    <row r="469" spans="1:10" hidden="1" x14ac:dyDescent="0.25">
      <c r="A469" t="s">
        <v>909</v>
      </c>
      <c r="B469" t="s">
        <v>227</v>
      </c>
      <c r="C469" t="str">
        <f>_xlfn.TEXTJOIN(",",TRUE, Employee[[#This Row],[Last Name]], Employee[[#This Row],[First Name]])</f>
        <v>Rodriquez, Denise</v>
      </c>
      <c r="D469" t="s">
        <v>161</v>
      </c>
      <c r="E469" t="s">
        <v>901</v>
      </c>
      <c r="F469" s="61">
        <v>40766</v>
      </c>
      <c r="G469">
        <v>6</v>
      </c>
      <c r="H469" t="s">
        <v>139</v>
      </c>
      <c r="I469" s="62">
        <v>57703</v>
      </c>
      <c r="J469">
        <v>5</v>
      </c>
    </row>
    <row r="470" spans="1:10" hidden="1" x14ac:dyDescent="0.25">
      <c r="A470" t="s">
        <v>910</v>
      </c>
      <c r="B470" t="s">
        <v>911</v>
      </c>
      <c r="C470" t="str">
        <f>_xlfn.TEXTJOIN(",",TRUE, Employee[[#This Row],[Last Name]], Employee[[#This Row],[First Name]])</f>
        <v>Webb, Jim</v>
      </c>
      <c r="D470" t="s">
        <v>161</v>
      </c>
      <c r="E470" t="s">
        <v>901</v>
      </c>
      <c r="F470" s="61">
        <v>41843</v>
      </c>
      <c r="G470">
        <v>3</v>
      </c>
      <c r="H470" t="s">
        <v>185</v>
      </c>
      <c r="I470" s="62">
        <v>83926</v>
      </c>
      <c r="J470">
        <v>3</v>
      </c>
    </row>
    <row r="471" spans="1:10" hidden="1" x14ac:dyDescent="0.25">
      <c r="A471" t="s">
        <v>912</v>
      </c>
      <c r="B471" t="s">
        <v>234</v>
      </c>
      <c r="C471" t="str">
        <f>_xlfn.TEXTJOIN(",",TRUE, Employee[[#This Row],[Last Name]], Employee[[#This Row],[First Name]])</f>
        <v>Cross, Marc</v>
      </c>
      <c r="D471" t="s">
        <v>155</v>
      </c>
      <c r="E471" t="s">
        <v>901</v>
      </c>
      <c r="F471" s="61">
        <v>40811</v>
      </c>
      <c r="G471">
        <v>6</v>
      </c>
      <c r="H471" t="s">
        <v>145</v>
      </c>
      <c r="I471" s="62">
        <v>76064</v>
      </c>
      <c r="J471">
        <v>4</v>
      </c>
    </row>
    <row r="472" spans="1:10" hidden="1" x14ac:dyDescent="0.25">
      <c r="A472" t="s">
        <v>913</v>
      </c>
      <c r="B472" t="s">
        <v>914</v>
      </c>
      <c r="C472" t="str">
        <f>_xlfn.TEXTJOIN(",",TRUE, Employee[[#This Row],[Last Name]], Employee[[#This Row],[First Name]])</f>
        <v>Watts, Curtis</v>
      </c>
      <c r="D472" t="s">
        <v>137</v>
      </c>
      <c r="E472" t="s">
        <v>901</v>
      </c>
      <c r="F472" s="61">
        <v>40813</v>
      </c>
      <c r="G472">
        <v>6</v>
      </c>
      <c r="H472" t="s">
        <v>142</v>
      </c>
      <c r="I472" s="62">
        <v>73842</v>
      </c>
      <c r="J472">
        <v>5</v>
      </c>
    </row>
    <row r="473" spans="1:10" hidden="1" x14ac:dyDescent="0.25">
      <c r="A473" t="s">
        <v>915</v>
      </c>
      <c r="B473" t="s">
        <v>916</v>
      </c>
      <c r="C473" t="str">
        <f>_xlfn.TEXTJOIN(",",TRUE, Employee[[#This Row],[Last Name]], Employee[[#This Row],[First Name]])</f>
        <v>Bartlett, Julia</v>
      </c>
      <c r="D473" t="s">
        <v>151</v>
      </c>
      <c r="E473" t="s">
        <v>901</v>
      </c>
      <c r="F473" s="61">
        <v>41896</v>
      </c>
      <c r="G473">
        <v>3</v>
      </c>
      <c r="H473" t="s">
        <v>152</v>
      </c>
      <c r="I473" s="62">
        <v>78867</v>
      </c>
      <c r="J473">
        <v>2</v>
      </c>
    </row>
    <row r="474" spans="1:10" hidden="1" x14ac:dyDescent="0.25">
      <c r="A474" t="s">
        <v>917</v>
      </c>
      <c r="B474" t="s">
        <v>320</v>
      </c>
      <c r="C474" t="str">
        <f>_xlfn.TEXTJOIN(",",TRUE, Employee[[#This Row],[Last Name]], Employee[[#This Row],[First Name]])</f>
        <v>Garza, Anthony</v>
      </c>
      <c r="D474" t="s">
        <v>161</v>
      </c>
      <c r="E474" t="s">
        <v>901</v>
      </c>
      <c r="F474" s="61">
        <v>41919</v>
      </c>
      <c r="G474">
        <v>3</v>
      </c>
      <c r="H474" t="s">
        <v>139</v>
      </c>
      <c r="I474" s="62">
        <v>91587</v>
      </c>
      <c r="J474">
        <v>5</v>
      </c>
    </row>
    <row r="475" spans="1:10" hidden="1" x14ac:dyDescent="0.25">
      <c r="A475" t="s">
        <v>918</v>
      </c>
      <c r="B475" t="s">
        <v>291</v>
      </c>
      <c r="C475" t="str">
        <f>_xlfn.TEXTJOIN(",",TRUE, Employee[[#This Row],[Last Name]], Employee[[#This Row],[First Name]])</f>
        <v>Maldonado, Robert</v>
      </c>
      <c r="D475" t="s">
        <v>151</v>
      </c>
      <c r="E475" t="s">
        <v>901</v>
      </c>
      <c r="F475" s="61">
        <v>40832</v>
      </c>
      <c r="G475">
        <v>6</v>
      </c>
      <c r="H475" t="s">
        <v>185</v>
      </c>
      <c r="I475" s="62">
        <v>124722</v>
      </c>
      <c r="J475">
        <v>2</v>
      </c>
    </row>
    <row r="476" spans="1:10" hidden="1" x14ac:dyDescent="0.25">
      <c r="A476" t="s">
        <v>919</v>
      </c>
      <c r="B476" t="s">
        <v>736</v>
      </c>
      <c r="C476" t="str">
        <f>_xlfn.TEXTJOIN(",",TRUE, Employee[[#This Row],[Last Name]], Employee[[#This Row],[First Name]])</f>
        <v>Estes, Mary</v>
      </c>
      <c r="D476" t="s">
        <v>155</v>
      </c>
      <c r="E476" t="s">
        <v>901</v>
      </c>
      <c r="F476" s="61">
        <v>40839</v>
      </c>
      <c r="G476">
        <v>5</v>
      </c>
      <c r="H476" t="s">
        <v>139</v>
      </c>
      <c r="I476" s="62">
        <v>78409</v>
      </c>
      <c r="J476">
        <v>3</v>
      </c>
    </row>
    <row r="477" spans="1:10" hidden="1" x14ac:dyDescent="0.25">
      <c r="A477" t="s">
        <v>920</v>
      </c>
      <c r="B477" t="s">
        <v>384</v>
      </c>
      <c r="C477" t="str">
        <f>_xlfn.TEXTJOIN(",",TRUE, Employee[[#This Row],[Last Name]], Employee[[#This Row],[First Name]])</f>
        <v>Hartman, Michael</v>
      </c>
      <c r="D477" t="s">
        <v>137</v>
      </c>
      <c r="E477" t="s">
        <v>901</v>
      </c>
      <c r="F477" s="61">
        <v>41971</v>
      </c>
      <c r="G477">
        <v>2</v>
      </c>
      <c r="H477" t="s">
        <v>185</v>
      </c>
      <c r="I477" s="62">
        <v>61718</v>
      </c>
      <c r="J477">
        <v>5</v>
      </c>
    </row>
    <row r="478" spans="1:10" hidden="1" x14ac:dyDescent="0.25">
      <c r="A478" t="s">
        <v>921</v>
      </c>
      <c r="B478" t="s">
        <v>922</v>
      </c>
      <c r="C478" t="str">
        <f>_xlfn.TEXTJOIN(",",TRUE, Employee[[#This Row],[Last Name]], Employee[[#This Row],[First Name]])</f>
        <v>Gutierrez, Regina</v>
      </c>
      <c r="D478" t="s">
        <v>161</v>
      </c>
      <c r="E478" t="s">
        <v>923</v>
      </c>
      <c r="F478" s="61">
        <v>40187</v>
      </c>
      <c r="G478">
        <v>7</v>
      </c>
      <c r="H478" t="s">
        <v>145</v>
      </c>
      <c r="I478" s="62">
        <v>123468</v>
      </c>
      <c r="J478">
        <v>2</v>
      </c>
    </row>
    <row r="479" spans="1:10" hidden="1" x14ac:dyDescent="0.25">
      <c r="A479" t="s">
        <v>137</v>
      </c>
      <c r="B479" t="s">
        <v>924</v>
      </c>
      <c r="C479" t="str">
        <f>_xlfn.TEXTJOIN(",",TRUE, Employee[[#This Row],[Last Name]], Employee[[#This Row],[First Name]])</f>
        <v>West, Jeffrey</v>
      </c>
      <c r="D479" t="s">
        <v>137</v>
      </c>
      <c r="E479" t="s">
        <v>923</v>
      </c>
      <c r="F479" s="61">
        <v>41286</v>
      </c>
      <c r="G479">
        <v>4</v>
      </c>
      <c r="H479" t="s">
        <v>142</v>
      </c>
      <c r="I479" s="62">
        <v>46368</v>
      </c>
      <c r="J479">
        <v>2</v>
      </c>
    </row>
    <row r="480" spans="1:10" x14ac:dyDescent="0.25">
      <c r="A480" t="s">
        <v>925</v>
      </c>
      <c r="B480" t="s">
        <v>867</v>
      </c>
      <c r="C480" t="str">
        <f>_xlfn.TEXTJOIN(",",TRUE, Employee[[#This Row],[Last Name]], Employee[[#This Row],[First Name]])</f>
        <v>Farmer, Suzanne</v>
      </c>
      <c r="D480" t="s">
        <v>137</v>
      </c>
      <c r="E480" t="s">
        <v>923</v>
      </c>
      <c r="F480" s="61">
        <v>36899</v>
      </c>
      <c r="G480">
        <v>16</v>
      </c>
      <c r="H480" t="s">
        <v>152</v>
      </c>
      <c r="I480" s="62">
        <v>59814</v>
      </c>
      <c r="J480">
        <v>3</v>
      </c>
    </row>
    <row r="481" spans="1:10" x14ac:dyDescent="0.25">
      <c r="A481" t="s">
        <v>926</v>
      </c>
      <c r="B481" t="s">
        <v>389</v>
      </c>
      <c r="C481" t="str">
        <f>_xlfn.TEXTJOIN(",",TRUE, Employee[[#This Row],[Last Name]], Employee[[#This Row],[First Name]])</f>
        <v>Grant, Leonard</v>
      </c>
      <c r="D481" t="s">
        <v>178</v>
      </c>
      <c r="E481" t="s">
        <v>923</v>
      </c>
      <c r="F481" s="61">
        <v>36904</v>
      </c>
      <c r="G481">
        <v>16</v>
      </c>
      <c r="H481" t="s">
        <v>139</v>
      </c>
      <c r="I481" s="62">
        <v>80732</v>
      </c>
      <c r="J481">
        <v>2</v>
      </c>
    </row>
    <row r="482" spans="1:10" x14ac:dyDescent="0.25">
      <c r="A482" t="s">
        <v>927</v>
      </c>
      <c r="B482" t="s">
        <v>686</v>
      </c>
      <c r="C482" t="str">
        <f>_xlfn.TEXTJOIN(",",TRUE, Employee[[#This Row],[Last Name]], Employee[[#This Row],[First Name]])</f>
        <v>Hayes, Edward</v>
      </c>
      <c r="D482" t="s">
        <v>161</v>
      </c>
      <c r="E482" t="s">
        <v>923</v>
      </c>
      <c r="F482" s="61">
        <v>37614</v>
      </c>
      <c r="G482">
        <v>14</v>
      </c>
      <c r="H482" t="s">
        <v>139</v>
      </c>
      <c r="I482" s="62">
        <v>60408</v>
      </c>
      <c r="J482">
        <v>4</v>
      </c>
    </row>
    <row r="483" spans="1:10" hidden="1" x14ac:dyDescent="0.25">
      <c r="A483" t="s">
        <v>928</v>
      </c>
      <c r="B483" t="s">
        <v>929</v>
      </c>
      <c r="C483" t="str">
        <f>_xlfn.TEXTJOIN(",",TRUE, Employee[[#This Row],[Last Name]], Employee[[#This Row],[First Name]])</f>
        <v>Horn, George</v>
      </c>
      <c r="D483" t="s">
        <v>151</v>
      </c>
      <c r="E483" t="s">
        <v>923</v>
      </c>
      <c r="F483" s="61">
        <v>39801</v>
      </c>
      <c r="G483">
        <v>8</v>
      </c>
      <c r="H483" t="s">
        <v>185</v>
      </c>
      <c r="I483" s="62">
        <v>120404</v>
      </c>
      <c r="J483">
        <v>3</v>
      </c>
    </row>
    <row r="484" spans="1:10" hidden="1" x14ac:dyDescent="0.25">
      <c r="A484" t="s">
        <v>930</v>
      </c>
      <c r="B484" t="s">
        <v>931</v>
      </c>
      <c r="C484" t="str">
        <f>_xlfn.TEXTJOIN(",",TRUE, Employee[[#This Row],[Last Name]], Employee[[#This Row],[First Name]])</f>
        <v>Frost, Adam</v>
      </c>
      <c r="D484" t="s">
        <v>137</v>
      </c>
      <c r="E484" t="s">
        <v>923</v>
      </c>
      <c r="F484" s="61">
        <v>42021</v>
      </c>
      <c r="G484">
        <v>2</v>
      </c>
      <c r="H484" t="s">
        <v>145</v>
      </c>
      <c r="I484" s="62">
        <v>104897</v>
      </c>
      <c r="J484">
        <v>3</v>
      </c>
    </row>
    <row r="485" spans="1:10" hidden="1" x14ac:dyDescent="0.25">
      <c r="A485" t="s">
        <v>932</v>
      </c>
      <c r="B485" t="s">
        <v>929</v>
      </c>
      <c r="C485" t="str">
        <f>_xlfn.TEXTJOIN(",",TRUE, Employee[[#This Row],[Last Name]], Employee[[#This Row],[First Name]])</f>
        <v>Fitzgerald, George</v>
      </c>
      <c r="D485" t="s">
        <v>137</v>
      </c>
      <c r="E485" t="s">
        <v>923</v>
      </c>
      <c r="F485" s="61">
        <v>42041</v>
      </c>
      <c r="G485">
        <v>2</v>
      </c>
      <c r="H485" t="s">
        <v>145</v>
      </c>
      <c r="I485" s="62">
        <v>45464</v>
      </c>
      <c r="J485">
        <v>2</v>
      </c>
    </row>
    <row r="486" spans="1:10" x14ac:dyDescent="0.25">
      <c r="A486" t="s">
        <v>933</v>
      </c>
      <c r="B486" t="s">
        <v>934</v>
      </c>
      <c r="C486" t="str">
        <f>_xlfn.TEXTJOIN(",",TRUE, Employee[[#This Row],[Last Name]], Employee[[#This Row],[First Name]])</f>
        <v>Carter, Allan</v>
      </c>
      <c r="D486" t="s">
        <v>161</v>
      </c>
      <c r="E486" t="s">
        <v>923</v>
      </c>
      <c r="F486" s="61">
        <v>37273</v>
      </c>
      <c r="G486">
        <v>15</v>
      </c>
      <c r="H486" t="s">
        <v>152</v>
      </c>
      <c r="I486" s="62">
        <v>93778</v>
      </c>
      <c r="J486">
        <v>5</v>
      </c>
    </row>
    <row r="487" spans="1:10" x14ac:dyDescent="0.25">
      <c r="A487" t="s">
        <v>935</v>
      </c>
      <c r="B487" t="s">
        <v>384</v>
      </c>
      <c r="C487" t="str">
        <f>_xlfn.TEXTJOIN(",",TRUE, Employee[[#This Row],[Last Name]], Employee[[#This Row],[First Name]])</f>
        <v>Kirby, Michael</v>
      </c>
      <c r="D487" t="s">
        <v>178</v>
      </c>
      <c r="E487" t="s">
        <v>923</v>
      </c>
      <c r="F487" s="61">
        <v>37295</v>
      </c>
      <c r="G487">
        <v>15</v>
      </c>
      <c r="H487" t="s">
        <v>185</v>
      </c>
      <c r="I487" s="62">
        <v>54091</v>
      </c>
      <c r="J487">
        <v>4</v>
      </c>
    </row>
    <row r="488" spans="1:10" hidden="1" x14ac:dyDescent="0.25">
      <c r="A488" t="s">
        <v>936</v>
      </c>
      <c r="B488" t="s">
        <v>240</v>
      </c>
      <c r="C488" t="str">
        <f>_xlfn.TEXTJOIN(",",TRUE, Employee[[#This Row],[Last Name]], Employee[[#This Row],[First Name]])</f>
        <v>Henson, Debra</v>
      </c>
      <c r="D488" t="s">
        <v>155</v>
      </c>
      <c r="E488" t="s">
        <v>923</v>
      </c>
      <c r="F488" s="61">
        <v>40942</v>
      </c>
      <c r="G488">
        <v>5</v>
      </c>
      <c r="H488" t="s">
        <v>139</v>
      </c>
      <c r="I488" s="62">
        <v>72894</v>
      </c>
      <c r="J488">
        <v>5</v>
      </c>
    </row>
    <row r="489" spans="1:10" hidden="1" x14ac:dyDescent="0.25">
      <c r="A489" t="s">
        <v>937</v>
      </c>
      <c r="B489" t="s">
        <v>303</v>
      </c>
      <c r="C489" t="str">
        <f>_xlfn.TEXTJOIN(",",TRUE, Employee[[#This Row],[Last Name]], Employee[[#This Row],[First Name]])</f>
        <v>Higgins, Angela</v>
      </c>
      <c r="D489" t="s">
        <v>137</v>
      </c>
      <c r="E489" t="s">
        <v>923</v>
      </c>
      <c r="F489" s="61">
        <v>42054</v>
      </c>
      <c r="G489">
        <v>2</v>
      </c>
      <c r="H489" t="s">
        <v>139</v>
      </c>
      <c r="I489" s="62">
        <v>104893</v>
      </c>
      <c r="J489">
        <v>3</v>
      </c>
    </row>
    <row r="490" spans="1:10" hidden="1" x14ac:dyDescent="0.25">
      <c r="A490" t="s">
        <v>938</v>
      </c>
      <c r="B490" t="s">
        <v>939</v>
      </c>
      <c r="C490" t="str">
        <f>_xlfn.TEXTJOIN(",",TRUE, Employee[[#This Row],[Last Name]], Employee[[#This Row],[First Name]])</f>
        <v>Cobb, Nicole</v>
      </c>
      <c r="D490" t="s">
        <v>155</v>
      </c>
      <c r="E490" t="s">
        <v>923</v>
      </c>
      <c r="F490" s="61">
        <v>41337</v>
      </c>
      <c r="G490">
        <v>4</v>
      </c>
      <c r="H490" t="s">
        <v>145</v>
      </c>
      <c r="I490" s="62">
        <v>79289</v>
      </c>
      <c r="J490">
        <v>1</v>
      </c>
    </row>
    <row r="491" spans="1:10" hidden="1" x14ac:dyDescent="0.25">
      <c r="A491" t="s">
        <v>940</v>
      </c>
      <c r="B491" t="s">
        <v>941</v>
      </c>
      <c r="C491" t="str">
        <f>_xlfn.TEXTJOIN(",",TRUE, Employee[[#This Row],[Last Name]], Employee[[#This Row],[First Name]])</f>
        <v>Barker, Heidi</v>
      </c>
      <c r="D491" t="s">
        <v>137</v>
      </c>
      <c r="E491" t="s">
        <v>923</v>
      </c>
      <c r="F491" s="61">
        <v>41342</v>
      </c>
      <c r="G491">
        <v>4</v>
      </c>
      <c r="H491" t="s">
        <v>168</v>
      </c>
      <c r="I491" s="62">
        <v>81594</v>
      </c>
      <c r="J491">
        <v>2</v>
      </c>
    </row>
    <row r="492" spans="1:10" x14ac:dyDescent="0.25">
      <c r="A492" t="s">
        <v>942</v>
      </c>
      <c r="B492" t="s">
        <v>747</v>
      </c>
      <c r="C492" t="str">
        <f>_xlfn.TEXTJOIN(",",TRUE, Employee[[#This Row],[Last Name]], Employee[[#This Row],[First Name]])</f>
        <v>Atkinson, Danielle</v>
      </c>
      <c r="D492" t="s">
        <v>155</v>
      </c>
      <c r="E492" t="s">
        <v>923</v>
      </c>
      <c r="F492" s="61">
        <v>38779</v>
      </c>
      <c r="G492">
        <v>11</v>
      </c>
      <c r="H492" t="s">
        <v>142</v>
      </c>
      <c r="I492" s="62">
        <v>46876</v>
      </c>
      <c r="J492">
        <v>3</v>
      </c>
    </row>
    <row r="493" spans="1:10" hidden="1" x14ac:dyDescent="0.25">
      <c r="A493" t="s">
        <v>943</v>
      </c>
      <c r="B493" t="s">
        <v>726</v>
      </c>
      <c r="C493" t="str">
        <f>_xlfn.TEXTJOIN(",",TRUE, Employee[[#This Row],[Last Name]], Employee[[#This Row],[First Name]])</f>
        <v>Watkins, Gary</v>
      </c>
      <c r="D493" t="s">
        <v>151</v>
      </c>
      <c r="E493" t="s">
        <v>923</v>
      </c>
      <c r="F493" s="61">
        <v>40597</v>
      </c>
      <c r="G493">
        <v>6</v>
      </c>
      <c r="H493" t="s">
        <v>168</v>
      </c>
      <c r="I493" s="62">
        <v>89002</v>
      </c>
      <c r="J493">
        <v>2</v>
      </c>
    </row>
    <row r="494" spans="1:10" hidden="1" x14ac:dyDescent="0.25">
      <c r="A494" t="s">
        <v>944</v>
      </c>
      <c r="B494" t="s">
        <v>644</v>
      </c>
      <c r="C494" t="str">
        <f>_xlfn.TEXTJOIN(",",TRUE, Employee[[#This Row],[Last Name]], Employee[[#This Row],[First Name]])</f>
        <v>Gilbert, Shannon</v>
      </c>
      <c r="D494" t="s">
        <v>151</v>
      </c>
      <c r="E494" t="s">
        <v>923</v>
      </c>
      <c r="F494" s="61">
        <v>39868</v>
      </c>
      <c r="G494">
        <v>8</v>
      </c>
      <c r="H494" t="s">
        <v>142</v>
      </c>
      <c r="I494" s="62">
        <v>60097</v>
      </c>
      <c r="J494">
        <v>3</v>
      </c>
    </row>
    <row r="495" spans="1:10" hidden="1" x14ac:dyDescent="0.25">
      <c r="A495" t="s">
        <v>945</v>
      </c>
      <c r="B495" t="s">
        <v>946</v>
      </c>
      <c r="C495" t="str">
        <f>_xlfn.TEXTJOIN(",",TRUE, Employee[[#This Row],[Last Name]], Employee[[#This Row],[First Name]])</f>
        <v>Christian, Melissa</v>
      </c>
      <c r="D495" t="s">
        <v>137</v>
      </c>
      <c r="E495" t="s">
        <v>923</v>
      </c>
      <c r="F495" s="61">
        <v>40977</v>
      </c>
      <c r="G495">
        <v>5</v>
      </c>
      <c r="H495" t="s">
        <v>139</v>
      </c>
      <c r="I495" s="62">
        <v>101346</v>
      </c>
      <c r="J495">
        <v>3</v>
      </c>
    </row>
    <row r="496" spans="1:10" hidden="1" x14ac:dyDescent="0.25">
      <c r="A496" t="s">
        <v>947</v>
      </c>
      <c r="B496" t="s">
        <v>559</v>
      </c>
      <c r="C496" t="str">
        <f>_xlfn.TEXTJOIN(",",TRUE, Employee[[#This Row],[Last Name]], Employee[[#This Row],[First Name]])</f>
        <v>Scott, Todd</v>
      </c>
      <c r="D496" t="s">
        <v>148</v>
      </c>
      <c r="E496" t="s">
        <v>923</v>
      </c>
      <c r="F496" s="61">
        <v>41332</v>
      </c>
      <c r="G496">
        <v>4</v>
      </c>
      <c r="H496" t="s">
        <v>185</v>
      </c>
      <c r="I496" s="62">
        <v>110700</v>
      </c>
      <c r="J496">
        <v>3</v>
      </c>
    </row>
    <row r="497" spans="1:10" hidden="1" x14ac:dyDescent="0.25">
      <c r="A497" t="s">
        <v>948</v>
      </c>
      <c r="B497" t="s">
        <v>339</v>
      </c>
      <c r="C497" t="str">
        <f>_xlfn.TEXTJOIN(",",TRUE, Employee[[#This Row],[Last Name]], Employee[[#This Row],[First Name]])</f>
        <v>Burnett, Kevin</v>
      </c>
      <c r="D497" t="s">
        <v>161</v>
      </c>
      <c r="E497" t="s">
        <v>923</v>
      </c>
      <c r="F497" s="61">
        <v>41702</v>
      </c>
      <c r="G497">
        <v>3</v>
      </c>
      <c r="H497" t="s">
        <v>168</v>
      </c>
      <c r="I497" s="62">
        <v>118902</v>
      </c>
      <c r="J497">
        <v>1</v>
      </c>
    </row>
    <row r="498" spans="1:10" hidden="1" x14ac:dyDescent="0.25">
      <c r="A498" t="s">
        <v>949</v>
      </c>
      <c r="B498" t="s">
        <v>950</v>
      </c>
      <c r="C498" t="str">
        <f>_xlfn.TEXTJOIN(",",TRUE, Employee[[#This Row],[Last Name]], Employee[[#This Row],[First Name]])</f>
        <v>Ayala, Polly</v>
      </c>
      <c r="D498" t="s">
        <v>161</v>
      </c>
      <c r="E498" t="s">
        <v>923</v>
      </c>
      <c r="F498" s="61">
        <v>40252</v>
      </c>
      <c r="G498">
        <v>7</v>
      </c>
      <c r="H498" t="s">
        <v>139</v>
      </c>
      <c r="I498" s="62">
        <v>75430</v>
      </c>
      <c r="J498">
        <v>4</v>
      </c>
    </row>
    <row r="499" spans="1:10" hidden="1" x14ac:dyDescent="0.25">
      <c r="A499" t="s">
        <v>951</v>
      </c>
      <c r="B499" t="s">
        <v>358</v>
      </c>
      <c r="C499" t="str">
        <f>_xlfn.TEXTJOIN(",",TRUE, Employee[[#This Row],[Last Name]], Employee[[#This Row],[First Name]])</f>
        <v>Rivers, Douglas</v>
      </c>
      <c r="D499" t="s">
        <v>137</v>
      </c>
      <c r="E499" t="s">
        <v>923</v>
      </c>
      <c r="F499" s="61">
        <v>40254</v>
      </c>
      <c r="G499">
        <v>7</v>
      </c>
      <c r="H499" t="s">
        <v>185</v>
      </c>
      <c r="I499" s="62">
        <v>103697</v>
      </c>
      <c r="J499">
        <v>4</v>
      </c>
    </row>
    <row r="500" spans="1:10" hidden="1" x14ac:dyDescent="0.25">
      <c r="A500" t="s">
        <v>952</v>
      </c>
      <c r="B500" t="s">
        <v>953</v>
      </c>
      <c r="C500" t="str">
        <f>_xlfn.TEXTJOIN(",",TRUE, Employee[[#This Row],[Last Name]], Employee[[#This Row],[First Name]])</f>
        <v>Neal, Sally</v>
      </c>
      <c r="D500" t="s">
        <v>155</v>
      </c>
      <c r="E500" t="s">
        <v>923</v>
      </c>
      <c r="F500" s="61">
        <v>41360</v>
      </c>
      <c r="G500">
        <v>4</v>
      </c>
      <c r="H500" t="s">
        <v>168</v>
      </c>
      <c r="I500" s="62">
        <v>66777</v>
      </c>
      <c r="J500">
        <v>3</v>
      </c>
    </row>
    <row r="501" spans="1:10" hidden="1" x14ac:dyDescent="0.25">
      <c r="A501" t="s">
        <v>954</v>
      </c>
      <c r="B501" t="s">
        <v>206</v>
      </c>
      <c r="C501" t="str">
        <f>_xlfn.TEXTJOIN(",",TRUE, Employee[[#This Row],[Last Name]], Employee[[#This Row],[First Name]])</f>
        <v>Freeman, Dennis</v>
      </c>
      <c r="D501" t="s">
        <v>155</v>
      </c>
      <c r="E501" t="s">
        <v>923</v>
      </c>
      <c r="F501" s="61">
        <v>39893</v>
      </c>
      <c r="G501">
        <v>8</v>
      </c>
      <c r="H501" t="s">
        <v>139</v>
      </c>
      <c r="I501" s="62">
        <v>72944</v>
      </c>
      <c r="J501">
        <v>1</v>
      </c>
    </row>
    <row r="502" spans="1:10" hidden="1" x14ac:dyDescent="0.25">
      <c r="A502" t="s">
        <v>955</v>
      </c>
      <c r="B502" t="s">
        <v>291</v>
      </c>
      <c r="C502" t="str">
        <f>_xlfn.TEXTJOIN(",",TRUE, Employee[[#This Row],[Last Name]], Employee[[#This Row],[First Name]])</f>
        <v>French, Robert</v>
      </c>
      <c r="D502" t="s">
        <v>137</v>
      </c>
      <c r="E502" t="s">
        <v>923</v>
      </c>
      <c r="F502" s="61">
        <v>39906</v>
      </c>
      <c r="G502">
        <v>8</v>
      </c>
      <c r="H502" t="s">
        <v>145</v>
      </c>
      <c r="I502" s="62">
        <v>48460</v>
      </c>
      <c r="J502">
        <v>4</v>
      </c>
    </row>
    <row r="503" spans="1:10" hidden="1" x14ac:dyDescent="0.25">
      <c r="A503" t="s">
        <v>956</v>
      </c>
      <c r="B503" t="s">
        <v>659</v>
      </c>
      <c r="C503" t="str">
        <f>_xlfn.TEXTJOIN(",",TRUE, Employee[[#This Row],[Last Name]], Employee[[#This Row],[First Name]])</f>
        <v>Edwards, Phillip</v>
      </c>
      <c r="D503" t="s">
        <v>151</v>
      </c>
      <c r="E503" t="s">
        <v>923</v>
      </c>
      <c r="F503" s="61">
        <v>41371</v>
      </c>
      <c r="G503">
        <v>4</v>
      </c>
      <c r="H503" t="s">
        <v>139</v>
      </c>
      <c r="I503" s="62">
        <v>72942</v>
      </c>
      <c r="J503">
        <v>1</v>
      </c>
    </row>
    <row r="504" spans="1:10" hidden="1" x14ac:dyDescent="0.25">
      <c r="A504" t="s">
        <v>957</v>
      </c>
      <c r="B504" t="s">
        <v>386</v>
      </c>
      <c r="C504" t="str">
        <f>_xlfn.TEXTJOIN(",",TRUE, Employee[[#This Row],[Last Name]], Employee[[#This Row],[First Name]])</f>
        <v>Lynch, Scott</v>
      </c>
      <c r="D504" t="s">
        <v>161</v>
      </c>
      <c r="E504" t="s">
        <v>923</v>
      </c>
      <c r="F504" s="61">
        <v>41744</v>
      </c>
      <c r="G504">
        <v>3</v>
      </c>
      <c r="H504" t="s">
        <v>139</v>
      </c>
      <c r="I504" s="62">
        <v>83936</v>
      </c>
      <c r="J504">
        <v>4</v>
      </c>
    </row>
    <row r="505" spans="1:10" hidden="1" x14ac:dyDescent="0.25">
      <c r="A505" t="s">
        <v>958</v>
      </c>
      <c r="B505" t="s">
        <v>959</v>
      </c>
      <c r="C505" t="str">
        <f>_xlfn.TEXTJOIN(",",TRUE, Employee[[#This Row],[Last Name]], Employee[[#This Row],[First Name]])</f>
        <v>Shaw, Pat</v>
      </c>
      <c r="D505" t="s">
        <v>161</v>
      </c>
      <c r="E505" t="s">
        <v>923</v>
      </c>
      <c r="F505" s="61">
        <v>40670</v>
      </c>
      <c r="G505">
        <v>6</v>
      </c>
      <c r="H505" t="s">
        <v>145</v>
      </c>
      <c r="I505" s="62">
        <v>74513</v>
      </c>
      <c r="J505">
        <v>1</v>
      </c>
    </row>
    <row r="506" spans="1:10" x14ac:dyDescent="0.25">
      <c r="A506" t="s">
        <v>960</v>
      </c>
      <c r="B506" t="s">
        <v>961</v>
      </c>
      <c r="C506" t="str">
        <f>_xlfn.TEXTJOIN(",",TRUE, Employee[[#This Row],[Last Name]], Employee[[#This Row],[First Name]])</f>
        <v>Jefferson, Elaine</v>
      </c>
      <c r="D506" t="s">
        <v>148</v>
      </c>
      <c r="E506" t="s">
        <v>923</v>
      </c>
      <c r="F506" s="61">
        <v>36996</v>
      </c>
      <c r="G506">
        <v>16</v>
      </c>
      <c r="H506" t="s">
        <v>142</v>
      </c>
      <c r="I506" s="62">
        <v>52562</v>
      </c>
      <c r="J506">
        <v>4</v>
      </c>
    </row>
    <row r="507" spans="1:10" x14ac:dyDescent="0.25">
      <c r="A507" t="s">
        <v>962</v>
      </c>
      <c r="B507" t="s">
        <v>963</v>
      </c>
      <c r="C507" t="str">
        <f>_xlfn.TEXTJOIN(",",TRUE, Employee[[#This Row],[Last Name]], Employee[[#This Row],[First Name]])</f>
        <v>Booth, Raquel</v>
      </c>
      <c r="D507" t="s">
        <v>137</v>
      </c>
      <c r="E507" t="s">
        <v>923</v>
      </c>
      <c r="F507" s="61">
        <v>37024</v>
      </c>
      <c r="G507">
        <v>16</v>
      </c>
      <c r="H507" t="s">
        <v>145</v>
      </c>
      <c r="I507" s="62">
        <v>77681</v>
      </c>
      <c r="J507">
        <v>5</v>
      </c>
    </row>
    <row r="508" spans="1:10" x14ac:dyDescent="0.25">
      <c r="A508" t="s">
        <v>964</v>
      </c>
      <c r="B508" t="s">
        <v>309</v>
      </c>
      <c r="C508" t="str">
        <f>_xlfn.TEXTJOIN(",",TRUE, Employee[[#This Row],[Last Name]], Employee[[#This Row],[First Name]])</f>
        <v>Soto, Christopher</v>
      </c>
      <c r="D508" t="s">
        <v>161</v>
      </c>
      <c r="E508" t="s">
        <v>923</v>
      </c>
      <c r="F508" s="61">
        <v>37375</v>
      </c>
      <c r="G508">
        <v>15</v>
      </c>
      <c r="H508" t="s">
        <v>145</v>
      </c>
      <c r="I508" s="62">
        <v>87321</v>
      </c>
      <c r="J508">
        <v>5</v>
      </c>
    </row>
    <row r="509" spans="1:10" x14ac:dyDescent="0.25">
      <c r="A509" t="s">
        <v>965</v>
      </c>
      <c r="B509" t="s">
        <v>966</v>
      </c>
      <c r="C509" t="str">
        <f>_xlfn.TEXTJOIN(",",TRUE, Employee[[#This Row],[Last Name]], Employee[[#This Row],[First Name]])</f>
        <v>Serrano, Al</v>
      </c>
      <c r="D509" t="s">
        <v>161</v>
      </c>
      <c r="E509" t="s">
        <v>923</v>
      </c>
      <c r="F509" s="61">
        <v>37751</v>
      </c>
      <c r="G509">
        <v>14</v>
      </c>
      <c r="H509" t="s">
        <v>168</v>
      </c>
      <c r="I509" s="62">
        <v>89725</v>
      </c>
      <c r="J509">
        <v>1</v>
      </c>
    </row>
    <row r="510" spans="1:10" x14ac:dyDescent="0.25">
      <c r="A510" t="s">
        <v>967</v>
      </c>
      <c r="B510" t="s">
        <v>384</v>
      </c>
      <c r="C510" t="str">
        <f>_xlfn.TEXTJOIN(",",TRUE, Employee[[#This Row],[Last Name]], Employee[[#This Row],[First Name]])</f>
        <v>Vasquez, Michael</v>
      </c>
      <c r="D510" t="s">
        <v>161</v>
      </c>
      <c r="E510" t="s">
        <v>923</v>
      </c>
      <c r="F510" s="61">
        <v>38482</v>
      </c>
      <c r="G510">
        <v>12</v>
      </c>
      <c r="H510" t="s">
        <v>145</v>
      </c>
      <c r="I510" s="62">
        <v>66140</v>
      </c>
      <c r="J510">
        <v>3</v>
      </c>
    </row>
    <row r="511" spans="1:10" hidden="1" x14ac:dyDescent="0.25">
      <c r="A511" t="s">
        <v>968</v>
      </c>
      <c r="B511" t="s">
        <v>969</v>
      </c>
      <c r="C511" t="str">
        <f>_xlfn.TEXTJOIN(",",TRUE, Employee[[#This Row],[Last Name]], Employee[[#This Row],[First Name]])</f>
        <v>Shepherd, Annie</v>
      </c>
      <c r="D511" t="s">
        <v>151</v>
      </c>
      <c r="E511" t="s">
        <v>923</v>
      </c>
      <c r="F511" s="61">
        <v>40295</v>
      </c>
      <c r="G511">
        <v>7</v>
      </c>
      <c r="H511" t="s">
        <v>139</v>
      </c>
      <c r="I511" s="62">
        <v>66579</v>
      </c>
      <c r="J511">
        <v>2</v>
      </c>
    </row>
    <row r="512" spans="1:10" hidden="1" x14ac:dyDescent="0.25">
      <c r="A512" t="s">
        <v>970</v>
      </c>
      <c r="B512" t="s">
        <v>971</v>
      </c>
      <c r="C512" t="str">
        <f>_xlfn.TEXTJOIN(",",TRUE, Employee[[#This Row],[Last Name]], Employee[[#This Row],[First Name]])</f>
        <v>Roman, Teri</v>
      </c>
      <c r="D512" t="s">
        <v>161</v>
      </c>
      <c r="E512" t="s">
        <v>923</v>
      </c>
      <c r="F512" s="61">
        <v>41785</v>
      </c>
      <c r="G512">
        <v>3</v>
      </c>
      <c r="H512" t="s">
        <v>145</v>
      </c>
      <c r="I512" s="62">
        <v>79152</v>
      </c>
      <c r="J512">
        <v>1</v>
      </c>
    </row>
    <row r="513" spans="1:10" hidden="1" x14ac:dyDescent="0.25">
      <c r="A513" t="s">
        <v>972</v>
      </c>
      <c r="B513" t="s">
        <v>973</v>
      </c>
      <c r="C513" t="str">
        <f>_xlfn.TEXTJOIN(",",TRUE, Employee[[#This Row],[Last Name]], Employee[[#This Row],[First Name]])</f>
        <v>Cain, Lon</v>
      </c>
      <c r="D513" t="s">
        <v>155</v>
      </c>
      <c r="E513" t="s">
        <v>923</v>
      </c>
      <c r="F513" s="61">
        <v>40340</v>
      </c>
      <c r="G513">
        <v>7</v>
      </c>
      <c r="H513" t="s">
        <v>168</v>
      </c>
      <c r="I513" s="62">
        <v>50979</v>
      </c>
      <c r="J513">
        <v>3</v>
      </c>
    </row>
    <row r="514" spans="1:10" hidden="1" x14ac:dyDescent="0.25">
      <c r="A514" t="s">
        <v>974</v>
      </c>
      <c r="B514" t="s">
        <v>349</v>
      </c>
      <c r="C514" t="str">
        <f>_xlfn.TEXTJOIN(",",TRUE, Employee[[#This Row],[Last Name]], Employee[[#This Row],[First Name]])</f>
        <v>Bean, Deborah</v>
      </c>
      <c r="D514" t="s">
        <v>161</v>
      </c>
      <c r="E514" t="s">
        <v>923</v>
      </c>
      <c r="F514" s="61">
        <v>41410</v>
      </c>
      <c r="G514">
        <v>4</v>
      </c>
      <c r="H514" t="s">
        <v>139</v>
      </c>
      <c r="I514" s="62">
        <v>101055</v>
      </c>
      <c r="J514">
        <v>2</v>
      </c>
    </row>
    <row r="515" spans="1:10" x14ac:dyDescent="0.25">
      <c r="A515" t="s">
        <v>975</v>
      </c>
      <c r="B515" t="s">
        <v>472</v>
      </c>
      <c r="C515" t="str">
        <f>_xlfn.TEXTJOIN(",",TRUE, Employee[[#This Row],[Last Name]], Employee[[#This Row],[First Name]])</f>
        <v>Jackson, Eric</v>
      </c>
      <c r="D515" t="s">
        <v>155</v>
      </c>
      <c r="E515" t="s">
        <v>923</v>
      </c>
      <c r="F515" s="61">
        <v>37036</v>
      </c>
      <c r="G515">
        <v>16</v>
      </c>
      <c r="H515" t="s">
        <v>185</v>
      </c>
      <c r="I515" s="62">
        <v>68213</v>
      </c>
      <c r="J515">
        <v>4</v>
      </c>
    </row>
    <row r="516" spans="1:10" x14ac:dyDescent="0.25">
      <c r="A516" t="s">
        <v>976</v>
      </c>
      <c r="B516" t="s">
        <v>349</v>
      </c>
      <c r="C516" t="str">
        <f>_xlfn.TEXTJOIN(",",TRUE, Employee[[#This Row],[Last Name]], Employee[[#This Row],[First Name]])</f>
        <v>Lindsey, Deborah</v>
      </c>
      <c r="D516" t="s">
        <v>155</v>
      </c>
      <c r="E516" t="s">
        <v>923</v>
      </c>
      <c r="F516" s="61">
        <v>37418</v>
      </c>
      <c r="G516">
        <v>15</v>
      </c>
      <c r="H516" t="s">
        <v>145</v>
      </c>
      <c r="I516" s="62">
        <v>99512</v>
      </c>
      <c r="J516">
        <v>4</v>
      </c>
    </row>
    <row r="517" spans="1:10" hidden="1" x14ac:dyDescent="0.25">
      <c r="A517" t="s">
        <v>977</v>
      </c>
      <c r="B517" t="s">
        <v>281</v>
      </c>
      <c r="C517" t="str">
        <f>_xlfn.TEXTJOIN(",",TRUE, Employee[[#This Row],[Last Name]], Employee[[#This Row],[First Name]])</f>
        <v>Lawson, Erin</v>
      </c>
      <c r="D517" t="s">
        <v>161</v>
      </c>
      <c r="E517" t="s">
        <v>923</v>
      </c>
      <c r="F517" s="61">
        <v>40360</v>
      </c>
      <c r="G517">
        <v>7</v>
      </c>
      <c r="H517" t="s">
        <v>152</v>
      </c>
      <c r="I517" s="62">
        <v>108185</v>
      </c>
      <c r="J517">
        <v>2</v>
      </c>
    </row>
    <row r="518" spans="1:10" hidden="1" x14ac:dyDescent="0.25">
      <c r="A518" t="s">
        <v>978</v>
      </c>
      <c r="B518" t="s">
        <v>979</v>
      </c>
      <c r="C518" t="str">
        <f>_xlfn.TEXTJOIN(",",TRUE, Employee[[#This Row],[Last Name]], Employee[[#This Row],[First Name]])</f>
        <v>Harper, Cynthia</v>
      </c>
      <c r="D518" t="s">
        <v>155</v>
      </c>
      <c r="E518" t="s">
        <v>923</v>
      </c>
      <c r="F518" s="61">
        <v>39981</v>
      </c>
      <c r="G518">
        <v>8</v>
      </c>
      <c r="H518" t="s">
        <v>185</v>
      </c>
      <c r="I518" s="62">
        <v>124966</v>
      </c>
      <c r="J518">
        <v>2</v>
      </c>
    </row>
    <row r="519" spans="1:10" x14ac:dyDescent="0.25">
      <c r="A519" t="s">
        <v>980</v>
      </c>
      <c r="B519" t="s">
        <v>429</v>
      </c>
      <c r="C519" t="str">
        <f>_xlfn.TEXTJOIN(",",TRUE, Employee[[#This Row],[Last Name]], Employee[[#This Row],[First Name]])</f>
        <v>Preston, Chris</v>
      </c>
      <c r="D519" t="s">
        <v>161</v>
      </c>
      <c r="E519" t="s">
        <v>923</v>
      </c>
      <c r="F519" s="61">
        <v>37068</v>
      </c>
      <c r="G519">
        <v>16</v>
      </c>
      <c r="H519" t="s">
        <v>168</v>
      </c>
      <c r="I519" s="62">
        <v>108629</v>
      </c>
      <c r="J519">
        <v>1</v>
      </c>
    </row>
    <row r="520" spans="1:10" x14ac:dyDescent="0.25">
      <c r="A520" t="s">
        <v>981</v>
      </c>
      <c r="B520" t="s">
        <v>384</v>
      </c>
      <c r="C520" t="str">
        <f>_xlfn.TEXTJOIN(",",TRUE, Employee[[#This Row],[Last Name]], Employee[[#This Row],[First Name]])</f>
        <v>Schmidt, Michael</v>
      </c>
      <c r="D520" t="s">
        <v>155</v>
      </c>
      <c r="E520" t="s">
        <v>923</v>
      </c>
      <c r="F520" s="61">
        <v>39251</v>
      </c>
      <c r="G520">
        <v>10</v>
      </c>
      <c r="H520" t="s">
        <v>185</v>
      </c>
      <c r="I520" s="62">
        <v>48249</v>
      </c>
      <c r="J520">
        <v>2</v>
      </c>
    </row>
    <row r="521" spans="1:10" hidden="1" x14ac:dyDescent="0.25">
      <c r="A521" t="s">
        <v>982</v>
      </c>
      <c r="B521" t="s">
        <v>983</v>
      </c>
      <c r="C521" t="str">
        <f>_xlfn.TEXTJOIN(",",TRUE, Employee[[#This Row],[Last Name]], Employee[[#This Row],[First Name]])</f>
        <v>Ward, Williams</v>
      </c>
      <c r="D521" t="s">
        <v>161</v>
      </c>
      <c r="E521" t="s">
        <v>923</v>
      </c>
      <c r="F521" s="61">
        <v>40751</v>
      </c>
      <c r="G521">
        <v>6</v>
      </c>
      <c r="H521" t="s">
        <v>139</v>
      </c>
      <c r="I521" s="62">
        <v>46370</v>
      </c>
      <c r="J521">
        <v>2</v>
      </c>
    </row>
    <row r="522" spans="1:10" hidden="1" x14ac:dyDescent="0.25">
      <c r="A522" t="s">
        <v>984</v>
      </c>
      <c r="B522" t="s">
        <v>525</v>
      </c>
      <c r="C522" t="str">
        <f>_xlfn.TEXTJOIN(",",TRUE, Employee[[#This Row],[Last Name]], Employee[[#This Row],[First Name]])</f>
        <v>William, William</v>
      </c>
      <c r="D522" t="s">
        <v>161</v>
      </c>
      <c r="E522" t="s">
        <v>923</v>
      </c>
      <c r="F522" s="61">
        <v>41843</v>
      </c>
      <c r="G522">
        <v>3</v>
      </c>
      <c r="H522" t="s">
        <v>152</v>
      </c>
      <c r="I522" s="62">
        <v>117457</v>
      </c>
      <c r="J522">
        <v>1</v>
      </c>
    </row>
    <row r="523" spans="1:10" hidden="1" x14ac:dyDescent="0.25">
      <c r="A523" t="s">
        <v>985</v>
      </c>
      <c r="B523" t="s">
        <v>248</v>
      </c>
      <c r="C523" t="str">
        <f>_xlfn.TEXTJOIN(",",TRUE, Employee[[#This Row],[Last Name]], Employee[[#This Row],[First Name]])</f>
        <v>Gordon, Diane</v>
      </c>
      <c r="D523" t="s">
        <v>178</v>
      </c>
      <c r="E523" t="s">
        <v>923</v>
      </c>
      <c r="F523" s="61">
        <v>40376</v>
      </c>
      <c r="G523">
        <v>7</v>
      </c>
      <c r="H523" t="s">
        <v>145</v>
      </c>
      <c r="I523" s="62">
        <v>117663</v>
      </c>
      <c r="J523">
        <v>5</v>
      </c>
    </row>
    <row r="524" spans="1:10" hidden="1" x14ac:dyDescent="0.25">
      <c r="A524" t="s">
        <v>986</v>
      </c>
      <c r="B524" t="s">
        <v>277</v>
      </c>
      <c r="C524" t="str">
        <f>_xlfn.TEXTJOIN(",",TRUE, Employee[[#This Row],[Last Name]], Employee[[#This Row],[First Name]])</f>
        <v>Ramsey, Nathaniel</v>
      </c>
      <c r="D524" t="s">
        <v>137</v>
      </c>
      <c r="E524" t="s">
        <v>923</v>
      </c>
      <c r="F524" s="61">
        <v>41477</v>
      </c>
      <c r="G524">
        <v>4</v>
      </c>
      <c r="H524" t="s">
        <v>142</v>
      </c>
      <c r="I524" s="62">
        <v>92231</v>
      </c>
      <c r="J524">
        <v>5</v>
      </c>
    </row>
    <row r="525" spans="1:10" hidden="1" x14ac:dyDescent="0.25">
      <c r="A525" t="s">
        <v>987</v>
      </c>
      <c r="B525" t="s">
        <v>481</v>
      </c>
      <c r="C525" t="str">
        <f>_xlfn.TEXTJOIN(",",TRUE, Employee[[#This Row],[Last Name]], Employee[[#This Row],[First Name]])</f>
        <v>Morrow, Richard</v>
      </c>
      <c r="D525" t="s">
        <v>155</v>
      </c>
      <c r="E525" t="s">
        <v>923</v>
      </c>
      <c r="F525" s="61">
        <v>41492</v>
      </c>
      <c r="G525">
        <v>4</v>
      </c>
      <c r="H525" t="s">
        <v>145</v>
      </c>
      <c r="I525" s="62">
        <v>68715</v>
      </c>
      <c r="J525">
        <v>2</v>
      </c>
    </row>
    <row r="526" spans="1:10" x14ac:dyDescent="0.25">
      <c r="A526" t="s">
        <v>988</v>
      </c>
      <c r="B526" t="s">
        <v>248</v>
      </c>
      <c r="C526" t="str">
        <f>_xlfn.TEXTJOIN(",",TRUE, Employee[[#This Row],[Last Name]], Employee[[#This Row],[First Name]])</f>
        <v>Andrews, Diane</v>
      </c>
      <c r="D526" t="s">
        <v>155</v>
      </c>
      <c r="E526" t="s">
        <v>923</v>
      </c>
      <c r="F526" s="61">
        <v>37106</v>
      </c>
      <c r="G526">
        <v>16</v>
      </c>
      <c r="H526" t="s">
        <v>145</v>
      </c>
      <c r="I526" s="62">
        <v>101020</v>
      </c>
      <c r="J526">
        <v>3</v>
      </c>
    </row>
    <row r="527" spans="1:10" x14ac:dyDescent="0.25">
      <c r="A527" t="s">
        <v>989</v>
      </c>
      <c r="B527" t="s">
        <v>990</v>
      </c>
      <c r="C527" t="str">
        <f>_xlfn.TEXTJOIN(",",TRUE, Employee[[#This Row],[Last Name]], Employee[[#This Row],[First Name]])</f>
        <v>Anderson, Teason</v>
      </c>
      <c r="D527" t="s">
        <v>151</v>
      </c>
      <c r="E527" t="s">
        <v>923</v>
      </c>
      <c r="F527" s="61">
        <v>37453</v>
      </c>
      <c r="G527">
        <v>15</v>
      </c>
      <c r="H527" t="s">
        <v>145</v>
      </c>
      <c r="I527" s="62">
        <v>71460</v>
      </c>
      <c r="J527">
        <v>5</v>
      </c>
    </row>
    <row r="528" spans="1:10" x14ac:dyDescent="0.25">
      <c r="A528" t="s">
        <v>991</v>
      </c>
      <c r="B528" t="s">
        <v>358</v>
      </c>
      <c r="C528" t="str">
        <f>_xlfn.TEXTJOIN(",",TRUE, Employee[[#This Row],[Last Name]], Employee[[#This Row],[First Name]])</f>
        <v>Howell, Douglas</v>
      </c>
      <c r="D528" t="s">
        <v>161</v>
      </c>
      <c r="E528" t="s">
        <v>923</v>
      </c>
      <c r="F528" s="61">
        <v>37458</v>
      </c>
      <c r="G528">
        <v>15</v>
      </c>
      <c r="H528" t="s">
        <v>145</v>
      </c>
      <c r="I528" s="62">
        <v>81833</v>
      </c>
      <c r="J528">
        <v>5</v>
      </c>
    </row>
    <row r="529" spans="1:10" x14ac:dyDescent="0.25">
      <c r="A529" t="s">
        <v>992</v>
      </c>
      <c r="B529" t="s">
        <v>993</v>
      </c>
      <c r="C529" t="str">
        <f>_xlfn.TEXTJOIN(",",TRUE, Employee[[#This Row],[Last Name]], Employee[[#This Row],[First Name]])</f>
        <v>Vargas, Bryant</v>
      </c>
      <c r="D529" t="s">
        <v>161</v>
      </c>
      <c r="E529" t="s">
        <v>923</v>
      </c>
      <c r="F529" s="61">
        <v>37471</v>
      </c>
      <c r="G529">
        <v>15</v>
      </c>
      <c r="H529" t="s">
        <v>185</v>
      </c>
      <c r="I529" s="62">
        <v>95313</v>
      </c>
      <c r="J529">
        <v>5</v>
      </c>
    </row>
    <row r="530" spans="1:10" x14ac:dyDescent="0.25">
      <c r="A530" t="s">
        <v>994</v>
      </c>
      <c r="B530" t="s">
        <v>726</v>
      </c>
      <c r="C530" t="str">
        <f>_xlfn.TEXTJOIN(",",TRUE, Employee[[#This Row],[Last Name]], Employee[[#This Row],[First Name]])</f>
        <v>Long, Gary</v>
      </c>
      <c r="D530" t="s">
        <v>178</v>
      </c>
      <c r="E530" t="s">
        <v>923</v>
      </c>
      <c r="F530" s="61">
        <v>38926</v>
      </c>
      <c r="G530">
        <v>11</v>
      </c>
      <c r="H530" t="s">
        <v>142</v>
      </c>
      <c r="I530" s="62">
        <v>100295</v>
      </c>
      <c r="J530">
        <v>2</v>
      </c>
    </row>
    <row r="531" spans="1:10" hidden="1" x14ac:dyDescent="0.25">
      <c r="A531" t="s">
        <v>995</v>
      </c>
      <c r="B531" t="s">
        <v>996</v>
      </c>
      <c r="C531" t="str">
        <f>_xlfn.TEXTJOIN(",",TRUE, Employee[[#This Row],[Last Name]], Employee[[#This Row],[First Name]])</f>
        <v>Wiley, Gustavo</v>
      </c>
      <c r="D531" t="s">
        <v>161</v>
      </c>
      <c r="E531" t="s">
        <v>923</v>
      </c>
      <c r="F531" s="61">
        <v>41482</v>
      </c>
      <c r="G531">
        <v>4</v>
      </c>
      <c r="H531" t="s">
        <v>145</v>
      </c>
      <c r="I531" s="62">
        <v>108616</v>
      </c>
      <c r="J531">
        <v>5</v>
      </c>
    </row>
    <row r="532" spans="1:10" hidden="1" x14ac:dyDescent="0.25">
      <c r="A532" t="s">
        <v>997</v>
      </c>
      <c r="B532" t="s">
        <v>998</v>
      </c>
      <c r="C532" t="str">
        <f>_xlfn.TEXTJOIN(",",TRUE, Employee[[#This Row],[Last Name]], Employee[[#This Row],[First Name]])</f>
        <v>Cannon, Jenny</v>
      </c>
      <c r="D532" t="s">
        <v>137</v>
      </c>
      <c r="E532" t="s">
        <v>923</v>
      </c>
      <c r="F532" s="61">
        <v>41488</v>
      </c>
      <c r="G532">
        <v>4</v>
      </c>
      <c r="H532" t="s">
        <v>145</v>
      </c>
      <c r="I532" s="62">
        <v>83517</v>
      </c>
      <c r="J532">
        <v>4</v>
      </c>
    </row>
    <row r="533" spans="1:10" hidden="1" x14ac:dyDescent="0.25">
      <c r="A533" t="s">
        <v>999</v>
      </c>
      <c r="B533" t="s">
        <v>764</v>
      </c>
      <c r="C533" t="str">
        <f>_xlfn.TEXTJOIN(",",TRUE, Employee[[#This Row],[Last Name]], Employee[[#This Row],[First Name]])</f>
        <v>Walters, Ann</v>
      </c>
      <c r="D533" t="s">
        <v>137</v>
      </c>
      <c r="E533" t="s">
        <v>923</v>
      </c>
      <c r="F533" s="61">
        <v>41499</v>
      </c>
      <c r="G533">
        <v>4</v>
      </c>
      <c r="H533" t="s">
        <v>142</v>
      </c>
      <c r="I533" s="62">
        <v>52388</v>
      </c>
      <c r="J533">
        <v>5</v>
      </c>
    </row>
    <row r="534" spans="1:10" hidden="1" x14ac:dyDescent="0.25">
      <c r="A534" t="s">
        <v>1000</v>
      </c>
      <c r="B534" t="s">
        <v>1001</v>
      </c>
      <c r="C534" t="str">
        <f>_xlfn.TEXTJOIN(",",TRUE, Employee[[#This Row],[Last Name]], Employee[[#This Row],[First Name]])</f>
        <v>Espinoza, Derrell</v>
      </c>
      <c r="D534" t="s">
        <v>155</v>
      </c>
      <c r="E534" t="s">
        <v>923</v>
      </c>
      <c r="F534" s="61">
        <v>40781</v>
      </c>
      <c r="G534">
        <v>6</v>
      </c>
      <c r="H534" t="s">
        <v>152</v>
      </c>
      <c r="I534" s="62">
        <v>119001</v>
      </c>
      <c r="J534">
        <v>4</v>
      </c>
    </row>
    <row r="535" spans="1:10" hidden="1" x14ac:dyDescent="0.25">
      <c r="A535" t="s">
        <v>1002</v>
      </c>
      <c r="B535" t="s">
        <v>525</v>
      </c>
      <c r="C535" t="str">
        <f>_xlfn.TEXTJOIN(",",TRUE, Employee[[#This Row],[Last Name]], Employee[[#This Row],[First Name]])</f>
        <v>Frank, William</v>
      </c>
      <c r="D535" t="s">
        <v>161</v>
      </c>
      <c r="E535" t="s">
        <v>923</v>
      </c>
      <c r="F535" s="61">
        <v>41893</v>
      </c>
      <c r="G535">
        <v>3</v>
      </c>
      <c r="H535" t="s">
        <v>142</v>
      </c>
      <c r="I535" s="62">
        <v>124817</v>
      </c>
      <c r="J535">
        <v>5</v>
      </c>
    </row>
    <row r="536" spans="1:10" hidden="1" x14ac:dyDescent="0.25">
      <c r="A536" t="s">
        <v>1003</v>
      </c>
      <c r="B536" t="s">
        <v>525</v>
      </c>
      <c r="C536" t="str">
        <f>_xlfn.TEXTJOIN(",",TRUE, Employee[[#This Row],[Last Name]], Employee[[#This Row],[First Name]])</f>
        <v>Austin, William</v>
      </c>
      <c r="D536" t="s">
        <v>161</v>
      </c>
      <c r="E536" t="s">
        <v>923</v>
      </c>
      <c r="F536" s="61">
        <v>40413</v>
      </c>
      <c r="G536">
        <v>7</v>
      </c>
      <c r="H536" t="s">
        <v>139</v>
      </c>
      <c r="I536" s="62">
        <v>60907</v>
      </c>
      <c r="J536">
        <v>2</v>
      </c>
    </row>
    <row r="537" spans="1:10" hidden="1" x14ac:dyDescent="0.25">
      <c r="A537" t="s">
        <v>1004</v>
      </c>
      <c r="B537" t="s">
        <v>1005</v>
      </c>
      <c r="C537" t="str">
        <f>_xlfn.TEXTJOIN(",",TRUE, Employee[[#This Row],[Last Name]], Employee[[#This Row],[First Name]])</f>
        <v>Fox, Ellen</v>
      </c>
      <c r="D537" t="s">
        <v>155</v>
      </c>
      <c r="E537" t="s">
        <v>923</v>
      </c>
      <c r="F537" s="61">
        <v>40058</v>
      </c>
      <c r="G537">
        <v>8</v>
      </c>
      <c r="H537" t="s">
        <v>142</v>
      </c>
      <c r="I537" s="62">
        <v>50760</v>
      </c>
      <c r="J537">
        <v>4</v>
      </c>
    </row>
    <row r="538" spans="1:10" hidden="1" x14ac:dyDescent="0.25">
      <c r="A538" t="s">
        <v>1006</v>
      </c>
      <c r="B538" t="s">
        <v>1007</v>
      </c>
      <c r="C538" t="str">
        <f>_xlfn.TEXTJOIN(",",TRUE, Employee[[#This Row],[Last Name]], Employee[[#This Row],[First Name]])</f>
        <v>Castillo, Sheri</v>
      </c>
      <c r="D538" t="s">
        <v>148</v>
      </c>
      <c r="E538" t="s">
        <v>923</v>
      </c>
      <c r="F538" s="61">
        <v>40064</v>
      </c>
      <c r="G538">
        <v>8</v>
      </c>
      <c r="H538" t="s">
        <v>145</v>
      </c>
      <c r="I538" s="62">
        <v>84598</v>
      </c>
      <c r="J538">
        <v>2</v>
      </c>
    </row>
    <row r="539" spans="1:10" x14ac:dyDescent="0.25">
      <c r="A539" t="s">
        <v>1008</v>
      </c>
      <c r="B539" t="s">
        <v>218</v>
      </c>
      <c r="C539" t="str">
        <f>_xlfn.TEXTJOIN(",",TRUE, Employee[[#This Row],[Last Name]], Employee[[#This Row],[First Name]])</f>
        <v>Cameron, John</v>
      </c>
      <c r="D539" t="s">
        <v>155</v>
      </c>
      <c r="E539" t="s">
        <v>923</v>
      </c>
      <c r="F539" s="61">
        <v>37865</v>
      </c>
      <c r="G539">
        <v>14</v>
      </c>
      <c r="H539" t="s">
        <v>145</v>
      </c>
      <c r="I539" s="62">
        <v>42273</v>
      </c>
      <c r="J539">
        <v>4</v>
      </c>
    </row>
    <row r="540" spans="1:10" x14ac:dyDescent="0.25">
      <c r="A540" t="s">
        <v>1009</v>
      </c>
      <c r="B540" t="s">
        <v>611</v>
      </c>
      <c r="C540" t="str">
        <f>_xlfn.TEXTJOIN(",",TRUE, Employee[[#This Row],[Last Name]], Employee[[#This Row],[First Name]])</f>
        <v>Wilson, Jessica</v>
      </c>
      <c r="D540" t="s">
        <v>161</v>
      </c>
      <c r="E540" t="s">
        <v>923</v>
      </c>
      <c r="F540" s="61">
        <v>38216</v>
      </c>
      <c r="G540">
        <v>13</v>
      </c>
      <c r="H540" t="s">
        <v>139</v>
      </c>
      <c r="I540" s="62">
        <v>44273</v>
      </c>
      <c r="J540">
        <v>1</v>
      </c>
    </row>
    <row r="541" spans="1:10" x14ac:dyDescent="0.25">
      <c r="A541" t="s">
        <v>1010</v>
      </c>
      <c r="B541" t="s">
        <v>147</v>
      </c>
      <c r="C541" t="str">
        <f>_xlfn.TEXTJOIN(",",TRUE, Employee[[#This Row],[Last Name]], Employee[[#This Row],[First Name]])</f>
        <v>Morton, Brian</v>
      </c>
      <c r="D541" t="s">
        <v>155</v>
      </c>
      <c r="E541" t="s">
        <v>923</v>
      </c>
      <c r="F541" s="61">
        <v>38604</v>
      </c>
      <c r="G541">
        <v>12</v>
      </c>
      <c r="H541" t="s">
        <v>145</v>
      </c>
      <c r="I541" s="62">
        <v>97694</v>
      </c>
      <c r="J541">
        <v>3</v>
      </c>
    </row>
    <row r="542" spans="1:10" hidden="1" x14ac:dyDescent="0.25">
      <c r="A542" t="s">
        <v>1011</v>
      </c>
      <c r="B542" t="s">
        <v>1012</v>
      </c>
      <c r="C542" t="str">
        <f>_xlfn.TEXTJOIN(",",TRUE, Employee[[#This Row],[Last Name]], Employee[[#This Row],[First Name]])</f>
        <v>Delgado, Dale</v>
      </c>
      <c r="D542" t="s">
        <v>155</v>
      </c>
      <c r="E542" t="s">
        <v>923</v>
      </c>
      <c r="F542" s="61">
        <v>41516</v>
      </c>
      <c r="G542">
        <v>4</v>
      </c>
      <c r="H542" t="s">
        <v>152</v>
      </c>
      <c r="I542" s="62">
        <v>79158</v>
      </c>
      <c r="J542">
        <v>4</v>
      </c>
    </row>
    <row r="543" spans="1:10" hidden="1" x14ac:dyDescent="0.25">
      <c r="A543" t="s">
        <v>1013</v>
      </c>
      <c r="B543" t="s">
        <v>147</v>
      </c>
      <c r="C543" t="str">
        <f>_xlfn.TEXTJOIN(",",TRUE, Employee[[#This Row],[Last Name]], Employee[[#This Row],[First Name]])</f>
        <v>Walls, Brian</v>
      </c>
      <c r="D543" t="s">
        <v>137</v>
      </c>
      <c r="E543" t="s">
        <v>923</v>
      </c>
      <c r="F543" s="61">
        <v>40820</v>
      </c>
      <c r="G543">
        <v>6</v>
      </c>
      <c r="H543" t="s">
        <v>145</v>
      </c>
      <c r="I543" s="62">
        <v>111638</v>
      </c>
      <c r="J543">
        <v>4</v>
      </c>
    </row>
    <row r="544" spans="1:10" hidden="1" x14ac:dyDescent="0.25">
      <c r="A544" t="s">
        <v>1014</v>
      </c>
      <c r="B544" t="s">
        <v>1015</v>
      </c>
      <c r="C544" t="str">
        <f>_xlfn.TEXTJOIN(",",TRUE, Employee[[#This Row],[Last Name]], Employee[[#This Row],[First Name]])</f>
        <v>Mann, Lowell</v>
      </c>
      <c r="D544" t="s">
        <v>161</v>
      </c>
      <c r="E544" t="s">
        <v>923</v>
      </c>
      <c r="F544" s="61">
        <v>41898</v>
      </c>
      <c r="G544">
        <v>3</v>
      </c>
      <c r="H544" t="s">
        <v>145</v>
      </c>
      <c r="I544" s="62">
        <v>57070</v>
      </c>
      <c r="J544">
        <v>1</v>
      </c>
    </row>
    <row r="545" spans="1:10" hidden="1" x14ac:dyDescent="0.25">
      <c r="A545" t="s">
        <v>1016</v>
      </c>
      <c r="B545" t="s">
        <v>673</v>
      </c>
      <c r="C545" t="str">
        <f>_xlfn.TEXTJOIN(",",TRUE, Employee[[#This Row],[Last Name]], Employee[[#This Row],[First Name]])</f>
        <v>Herrera, Shawn</v>
      </c>
      <c r="D545" t="s">
        <v>161</v>
      </c>
      <c r="E545" t="s">
        <v>923</v>
      </c>
      <c r="F545" s="61">
        <v>41909</v>
      </c>
      <c r="G545">
        <v>3</v>
      </c>
      <c r="H545" t="s">
        <v>152</v>
      </c>
      <c r="I545" s="62">
        <v>111762</v>
      </c>
      <c r="J545">
        <v>4</v>
      </c>
    </row>
    <row r="546" spans="1:10" hidden="1" x14ac:dyDescent="0.25">
      <c r="A546" t="s">
        <v>49</v>
      </c>
      <c r="B546" t="s">
        <v>136</v>
      </c>
      <c r="C546" t="str">
        <f>_xlfn.TEXTJOIN(",",TRUE, Employee[[#This Row],[Last Name]], Employee[[#This Row],[First Name]])</f>
        <v>Hunter, Lisa</v>
      </c>
      <c r="D546" t="s">
        <v>137</v>
      </c>
      <c r="E546" t="s">
        <v>923</v>
      </c>
      <c r="F546" s="61">
        <v>40450</v>
      </c>
      <c r="G546">
        <v>7</v>
      </c>
      <c r="H546" t="s">
        <v>139</v>
      </c>
      <c r="I546" s="62">
        <v>74933</v>
      </c>
      <c r="J546">
        <v>4</v>
      </c>
    </row>
    <row r="547" spans="1:10" x14ac:dyDescent="0.25">
      <c r="A547" t="s">
        <v>1017</v>
      </c>
      <c r="B547" t="s">
        <v>611</v>
      </c>
      <c r="C547" t="str">
        <f>_xlfn.TEXTJOIN(",",TRUE, Employee[[#This Row],[Last Name]], Employee[[#This Row],[First Name]])</f>
        <v>Chapman, Jessica</v>
      </c>
      <c r="D547" t="s">
        <v>155</v>
      </c>
      <c r="E547" t="s">
        <v>923</v>
      </c>
      <c r="F547" s="61">
        <v>37162</v>
      </c>
      <c r="G547">
        <v>16</v>
      </c>
      <c r="H547" t="s">
        <v>142</v>
      </c>
      <c r="I547" s="62">
        <v>80700</v>
      </c>
      <c r="J547">
        <v>5</v>
      </c>
    </row>
    <row r="548" spans="1:10" x14ac:dyDescent="0.25">
      <c r="A548" t="s">
        <v>1018</v>
      </c>
      <c r="B548" t="s">
        <v>384</v>
      </c>
      <c r="C548" t="str">
        <f>_xlfn.TEXTJOIN(",",TRUE, Employee[[#This Row],[Last Name]], Employee[[#This Row],[First Name]])</f>
        <v>Bowman, Michael</v>
      </c>
      <c r="D548" t="s">
        <v>137</v>
      </c>
      <c r="E548" t="s">
        <v>923</v>
      </c>
      <c r="F548" s="61">
        <v>37164</v>
      </c>
      <c r="G548">
        <v>16</v>
      </c>
      <c r="H548" t="s">
        <v>145</v>
      </c>
      <c r="I548" s="62">
        <v>46130</v>
      </c>
      <c r="J548">
        <v>1</v>
      </c>
    </row>
    <row r="549" spans="1:10" x14ac:dyDescent="0.25">
      <c r="A549" t="s">
        <v>1019</v>
      </c>
      <c r="B549" t="s">
        <v>425</v>
      </c>
      <c r="C549" t="str">
        <f>_xlfn.TEXTJOIN(",",TRUE, Employee[[#This Row],[Last Name]], Employee[[#This Row],[First Name]])</f>
        <v>Moses, Mark</v>
      </c>
      <c r="D549" t="s">
        <v>161</v>
      </c>
      <c r="E549" t="s">
        <v>923</v>
      </c>
      <c r="F549" s="61">
        <v>37166</v>
      </c>
      <c r="G549">
        <v>16</v>
      </c>
      <c r="H549" t="s">
        <v>152</v>
      </c>
      <c r="I549" s="62">
        <v>43474</v>
      </c>
      <c r="J549">
        <v>4</v>
      </c>
    </row>
    <row r="550" spans="1:10" hidden="1" x14ac:dyDescent="0.25">
      <c r="A550" t="s">
        <v>1020</v>
      </c>
      <c r="B550" t="s">
        <v>339</v>
      </c>
      <c r="C550" t="str">
        <f>_xlfn.TEXTJOIN(",",TRUE, Employee[[#This Row],[Last Name]], Employee[[#This Row],[First Name]])</f>
        <v>Shannon, Kevin</v>
      </c>
      <c r="D550" t="s">
        <v>155</v>
      </c>
      <c r="E550" t="s">
        <v>923</v>
      </c>
      <c r="F550" s="61">
        <v>40440</v>
      </c>
      <c r="G550">
        <v>7</v>
      </c>
      <c r="H550" t="s">
        <v>142</v>
      </c>
      <c r="I550" s="62">
        <v>97420</v>
      </c>
      <c r="J550">
        <v>5</v>
      </c>
    </row>
    <row r="551" spans="1:10" hidden="1" x14ac:dyDescent="0.25">
      <c r="A551" t="s">
        <v>1021</v>
      </c>
      <c r="B551" t="s">
        <v>472</v>
      </c>
      <c r="C551" t="str">
        <f>_xlfn.TEXTJOIN(",",TRUE, Employee[[#This Row],[Last Name]], Employee[[#This Row],[First Name]])</f>
        <v>Stanley, Eric</v>
      </c>
      <c r="D551" t="s">
        <v>178</v>
      </c>
      <c r="E551" t="s">
        <v>923</v>
      </c>
      <c r="F551" s="61">
        <v>40806</v>
      </c>
      <c r="G551">
        <v>6</v>
      </c>
      <c r="H551" t="s">
        <v>139</v>
      </c>
      <c r="I551" s="62">
        <v>105708</v>
      </c>
      <c r="J551">
        <v>1</v>
      </c>
    </row>
    <row r="552" spans="1:10" hidden="1" x14ac:dyDescent="0.25">
      <c r="A552" t="s">
        <v>1022</v>
      </c>
      <c r="B552" t="s">
        <v>384</v>
      </c>
      <c r="C552" t="str">
        <f>_xlfn.TEXTJOIN(",",TRUE, Employee[[#This Row],[Last Name]], Employee[[#This Row],[First Name]])</f>
        <v>Ashley, Michael</v>
      </c>
      <c r="D552" t="s">
        <v>155</v>
      </c>
      <c r="E552" t="s">
        <v>923</v>
      </c>
      <c r="F552" s="61">
        <v>41555</v>
      </c>
      <c r="G552">
        <v>4</v>
      </c>
      <c r="H552" t="s">
        <v>152</v>
      </c>
      <c r="I552" s="62">
        <v>55792</v>
      </c>
      <c r="J552">
        <v>1</v>
      </c>
    </row>
    <row r="553" spans="1:10" hidden="1" x14ac:dyDescent="0.25">
      <c r="A553" t="s">
        <v>1023</v>
      </c>
      <c r="B553" t="s">
        <v>429</v>
      </c>
      <c r="C553" t="str">
        <f>_xlfn.TEXTJOIN(",",TRUE, Employee[[#This Row],[Last Name]], Employee[[#This Row],[First Name]])</f>
        <v>Holloway, Chris</v>
      </c>
      <c r="D553" t="s">
        <v>155</v>
      </c>
      <c r="E553" t="s">
        <v>923</v>
      </c>
      <c r="F553" s="61">
        <v>40850</v>
      </c>
      <c r="G553">
        <v>5</v>
      </c>
      <c r="H553" t="s">
        <v>145</v>
      </c>
      <c r="I553" s="62">
        <v>115076</v>
      </c>
      <c r="J553">
        <v>2</v>
      </c>
    </row>
    <row r="554" spans="1:10" x14ac:dyDescent="0.25">
      <c r="A554" t="s">
        <v>1024</v>
      </c>
      <c r="B554" t="s">
        <v>726</v>
      </c>
      <c r="C554" t="str">
        <f>_xlfn.TEXTJOIN(",",TRUE, Employee[[#This Row],[Last Name]], Employee[[#This Row],[First Name]])</f>
        <v>Jennings, Gary</v>
      </c>
      <c r="D554" t="s">
        <v>155</v>
      </c>
      <c r="E554" t="s">
        <v>923</v>
      </c>
      <c r="F554" s="61">
        <v>38646</v>
      </c>
      <c r="G554">
        <v>11</v>
      </c>
      <c r="H554" t="s">
        <v>142</v>
      </c>
      <c r="I554" s="62">
        <v>83609</v>
      </c>
      <c r="J554">
        <v>2</v>
      </c>
    </row>
    <row r="555" spans="1:10" hidden="1" x14ac:dyDescent="0.25">
      <c r="A555" t="s">
        <v>1025</v>
      </c>
      <c r="B555" t="s">
        <v>540</v>
      </c>
      <c r="C555" t="str">
        <f>_xlfn.TEXTJOIN(",",TRUE, Employee[[#This Row],[Last Name]], Employee[[#This Row],[First Name]])</f>
        <v>Reid, Elizabeth</v>
      </c>
      <c r="D555" t="s">
        <v>161</v>
      </c>
      <c r="E555" t="s">
        <v>923</v>
      </c>
      <c r="F555" s="61">
        <v>40125</v>
      </c>
      <c r="G555">
        <v>7</v>
      </c>
      <c r="H555" t="s">
        <v>185</v>
      </c>
      <c r="I555" s="62">
        <v>46313</v>
      </c>
      <c r="J555">
        <v>5</v>
      </c>
    </row>
    <row r="556" spans="1:10" hidden="1" x14ac:dyDescent="0.25">
      <c r="A556" t="s">
        <v>1026</v>
      </c>
      <c r="B556" t="s">
        <v>386</v>
      </c>
      <c r="C556" t="str">
        <f>_xlfn.TEXTJOIN(",",TRUE, Employee[[#This Row],[Last Name]], Employee[[#This Row],[First Name]])</f>
        <v>Jenkins, Scott</v>
      </c>
      <c r="D556" t="s">
        <v>161</v>
      </c>
      <c r="E556" t="s">
        <v>923</v>
      </c>
      <c r="F556" s="61">
        <v>41215</v>
      </c>
      <c r="G556">
        <v>4</v>
      </c>
      <c r="H556" t="s">
        <v>139</v>
      </c>
      <c r="I556" s="62">
        <v>108854</v>
      </c>
      <c r="J556">
        <v>4</v>
      </c>
    </row>
    <row r="557" spans="1:10" hidden="1" x14ac:dyDescent="0.25">
      <c r="A557" t="s">
        <v>1027</v>
      </c>
      <c r="B557" t="s">
        <v>218</v>
      </c>
      <c r="C557" t="str">
        <f>_xlfn.TEXTJOIN(",",TRUE, Employee[[#This Row],[Last Name]], Employee[[#This Row],[First Name]])</f>
        <v>Glass, John</v>
      </c>
      <c r="D557" t="s">
        <v>161</v>
      </c>
      <c r="E557" t="s">
        <v>923</v>
      </c>
      <c r="F557" s="61">
        <v>40887</v>
      </c>
      <c r="G557">
        <v>5</v>
      </c>
      <c r="H557" t="s">
        <v>145</v>
      </c>
      <c r="I557" s="62">
        <v>94318</v>
      </c>
      <c r="J557">
        <v>4</v>
      </c>
    </row>
    <row r="558" spans="1:10" hidden="1" x14ac:dyDescent="0.25">
      <c r="A558" t="s">
        <v>1028</v>
      </c>
      <c r="B558" t="s">
        <v>196</v>
      </c>
      <c r="C558" t="str">
        <f>_xlfn.TEXTJOIN(",",TRUE, Employee[[#This Row],[Last Name]], Employee[[#This Row],[First Name]])</f>
        <v>Woodard, Charles</v>
      </c>
      <c r="D558" t="s">
        <v>155</v>
      </c>
      <c r="E558" t="s">
        <v>923</v>
      </c>
      <c r="F558" s="61">
        <v>41956</v>
      </c>
      <c r="G558">
        <v>2</v>
      </c>
      <c r="H558" t="s">
        <v>168</v>
      </c>
      <c r="I558" s="62">
        <v>78034</v>
      </c>
      <c r="J558">
        <v>4</v>
      </c>
    </row>
    <row r="559" spans="1:10" hidden="1" x14ac:dyDescent="0.25">
      <c r="A559" t="s">
        <v>1029</v>
      </c>
      <c r="B559" t="s">
        <v>776</v>
      </c>
      <c r="C559" t="str">
        <f>_xlfn.TEXTJOIN(",",TRUE, Employee[[#This Row],[Last Name]], Employee[[#This Row],[First Name]])</f>
        <v>Ford, Matt</v>
      </c>
      <c r="D559" t="s">
        <v>137</v>
      </c>
      <c r="E559" t="s">
        <v>923</v>
      </c>
      <c r="F559" s="61">
        <v>41961</v>
      </c>
      <c r="G559">
        <v>2</v>
      </c>
      <c r="H559" t="s">
        <v>145</v>
      </c>
      <c r="I559" s="62">
        <v>121631</v>
      </c>
      <c r="J559">
        <v>4</v>
      </c>
    </row>
    <row r="560" spans="1:10" hidden="1" x14ac:dyDescent="0.25">
      <c r="A560" t="s">
        <v>1030</v>
      </c>
      <c r="B560" t="s">
        <v>175</v>
      </c>
      <c r="C560" t="str">
        <f>_xlfn.TEXTJOIN(",",TRUE, Employee[[#This Row],[Last Name]], Employee[[#This Row],[First Name]])</f>
        <v>Solis, Daniel</v>
      </c>
      <c r="D560" t="s">
        <v>161</v>
      </c>
      <c r="E560" t="s">
        <v>923</v>
      </c>
      <c r="F560" s="61">
        <v>42332</v>
      </c>
      <c r="G560">
        <v>1</v>
      </c>
      <c r="H560" t="s">
        <v>145</v>
      </c>
      <c r="I560" s="62">
        <v>53834</v>
      </c>
      <c r="J560">
        <v>2</v>
      </c>
    </row>
    <row r="561" spans="1:10" hidden="1" x14ac:dyDescent="0.25">
      <c r="A561" t="s">
        <v>1031</v>
      </c>
      <c r="B561" t="s">
        <v>380</v>
      </c>
      <c r="C561" t="str">
        <f>_xlfn.TEXTJOIN(",",TRUE, Employee[[#This Row],[Last Name]], Employee[[#This Row],[First Name]])</f>
        <v>Villarreal, Stephen</v>
      </c>
      <c r="D561" t="s">
        <v>178</v>
      </c>
      <c r="E561" t="s">
        <v>923</v>
      </c>
      <c r="F561" s="61">
        <v>40885</v>
      </c>
      <c r="G561">
        <v>5</v>
      </c>
      <c r="H561" t="s">
        <v>142</v>
      </c>
      <c r="I561" s="62">
        <v>119223</v>
      </c>
      <c r="J561">
        <v>2</v>
      </c>
    </row>
    <row r="562" spans="1:10" x14ac:dyDescent="0.25">
      <c r="A562" t="s">
        <v>1032</v>
      </c>
      <c r="B562" t="s">
        <v>1033</v>
      </c>
      <c r="C562" t="str">
        <f>_xlfn.TEXTJOIN(",",TRUE, Employee[[#This Row],[Last Name]], Employee[[#This Row],[First Name]])</f>
        <v>Doyle, Leslie</v>
      </c>
      <c r="D562" t="s">
        <v>148</v>
      </c>
      <c r="E562" t="s">
        <v>923</v>
      </c>
      <c r="F562" s="61">
        <v>37214</v>
      </c>
      <c r="G562">
        <v>15</v>
      </c>
      <c r="H562" t="s">
        <v>185</v>
      </c>
      <c r="I562" s="62">
        <v>86756</v>
      </c>
      <c r="J562">
        <v>4</v>
      </c>
    </row>
    <row r="563" spans="1:10" x14ac:dyDescent="0.25">
      <c r="A563" t="s">
        <v>1034</v>
      </c>
      <c r="B563" t="s">
        <v>1035</v>
      </c>
      <c r="C563" t="str">
        <f>_xlfn.TEXTJOIN(",",TRUE, Employee[[#This Row],[Last Name]], Employee[[#This Row],[First Name]])</f>
        <v>Curry, Hunyen</v>
      </c>
      <c r="D563" t="s">
        <v>161</v>
      </c>
      <c r="E563" t="s">
        <v>923</v>
      </c>
      <c r="F563" s="61">
        <v>38327</v>
      </c>
      <c r="G563">
        <v>12</v>
      </c>
      <c r="H563" t="s">
        <v>168</v>
      </c>
      <c r="I563" s="62">
        <v>74412</v>
      </c>
      <c r="J563">
        <v>4</v>
      </c>
    </row>
    <row r="564" spans="1:10" hidden="1" x14ac:dyDescent="0.25">
      <c r="A564" t="s">
        <v>1036</v>
      </c>
      <c r="B564" t="s">
        <v>1037</v>
      </c>
      <c r="C564" t="str">
        <f>_xlfn.TEXTJOIN(",",TRUE, Employee[[#This Row],[Last Name]], Employee[[#This Row],[First Name]])</f>
        <v>Wells, Carlos</v>
      </c>
      <c r="D564" t="s">
        <v>155</v>
      </c>
      <c r="E564" t="s">
        <v>923</v>
      </c>
      <c r="F564" s="61">
        <v>40524</v>
      </c>
      <c r="G564">
        <v>6</v>
      </c>
      <c r="H564" t="s">
        <v>139</v>
      </c>
      <c r="I564" s="62">
        <v>79867</v>
      </c>
      <c r="J564">
        <v>1</v>
      </c>
    </row>
    <row r="565" spans="1:10" hidden="1" x14ac:dyDescent="0.25">
      <c r="A565" t="s">
        <v>1038</v>
      </c>
      <c r="B565" t="s">
        <v>653</v>
      </c>
      <c r="C565" t="str">
        <f>_xlfn.TEXTJOIN(",",TRUE, Employee[[#This Row],[Last Name]], Employee[[#This Row],[First Name]])</f>
        <v>Cabe, Max</v>
      </c>
      <c r="D565" t="s">
        <v>161</v>
      </c>
      <c r="E565" t="s">
        <v>923</v>
      </c>
      <c r="F565" s="61">
        <v>41244</v>
      </c>
      <c r="G565">
        <v>4</v>
      </c>
      <c r="H565" t="s">
        <v>168</v>
      </c>
      <c r="I565" s="62">
        <v>84524</v>
      </c>
      <c r="J565">
        <v>5</v>
      </c>
    </row>
    <row r="566" spans="1:10" hidden="1" x14ac:dyDescent="0.25">
      <c r="A566" t="s">
        <v>1039</v>
      </c>
      <c r="B566" t="s">
        <v>1040</v>
      </c>
      <c r="C566" t="str">
        <f>_xlfn.TEXTJOIN(",",TRUE, Employee[[#This Row],[Last Name]], Employee[[#This Row],[First Name]])</f>
        <v>King, Taslim</v>
      </c>
      <c r="D566" t="s">
        <v>137</v>
      </c>
      <c r="E566" t="s">
        <v>1041</v>
      </c>
      <c r="F566" s="61">
        <v>41639</v>
      </c>
      <c r="G566">
        <v>3</v>
      </c>
      <c r="H566" t="s">
        <v>145</v>
      </c>
      <c r="I566" s="62">
        <v>107090</v>
      </c>
      <c r="J566">
        <v>2</v>
      </c>
    </row>
    <row r="567" spans="1:10" hidden="1" x14ac:dyDescent="0.25">
      <c r="A567" t="s">
        <v>1042</v>
      </c>
      <c r="B567" t="s">
        <v>384</v>
      </c>
      <c r="C567" t="str">
        <f>_xlfn.TEXTJOIN(",",TRUE, Employee[[#This Row],[Last Name]], Employee[[#This Row],[First Name]])</f>
        <v>Adkins, Michael</v>
      </c>
      <c r="D567" t="s">
        <v>155</v>
      </c>
      <c r="E567" t="s">
        <v>1041</v>
      </c>
      <c r="F567" s="61">
        <v>41652</v>
      </c>
      <c r="G567">
        <v>3</v>
      </c>
      <c r="H567" t="s">
        <v>185</v>
      </c>
      <c r="I567" s="62">
        <v>61979</v>
      </c>
      <c r="J567">
        <v>1</v>
      </c>
    </row>
    <row r="568" spans="1:10" hidden="1" x14ac:dyDescent="0.25">
      <c r="A568" t="s">
        <v>1043</v>
      </c>
      <c r="B568" t="s">
        <v>1044</v>
      </c>
      <c r="C568" t="str">
        <f>_xlfn.TEXTJOIN(",",TRUE, Employee[[#This Row],[Last Name]], Employee[[#This Row],[First Name]])</f>
        <v>Fisher, Maria</v>
      </c>
      <c r="D568" t="s">
        <v>155</v>
      </c>
      <c r="E568" t="s">
        <v>1041</v>
      </c>
      <c r="F568" s="61">
        <v>41987</v>
      </c>
      <c r="G568">
        <v>2</v>
      </c>
      <c r="H568" t="s">
        <v>139</v>
      </c>
      <c r="I568" s="62">
        <v>110448</v>
      </c>
      <c r="J568">
        <v>1</v>
      </c>
    </row>
    <row r="569" spans="1:10" hidden="1" x14ac:dyDescent="0.25">
      <c r="A569" t="s">
        <v>1045</v>
      </c>
      <c r="B569" t="s">
        <v>1046</v>
      </c>
      <c r="C569" t="str">
        <f>_xlfn.TEXTJOIN(",",TRUE, Employee[[#This Row],[Last Name]], Employee[[#This Row],[First Name]])</f>
        <v>Foster, Blane</v>
      </c>
      <c r="D569" t="s">
        <v>161</v>
      </c>
      <c r="E569" t="s">
        <v>1041</v>
      </c>
      <c r="F569" s="61">
        <v>40536</v>
      </c>
      <c r="G569">
        <v>6</v>
      </c>
      <c r="H569" t="s">
        <v>145</v>
      </c>
      <c r="I569" s="62">
        <v>101758</v>
      </c>
      <c r="J569">
        <v>4</v>
      </c>
    </row>
    <row r="570" spans="1:10" hidden="1" x14ac:dyDescent="0.25">
      <c r="A570" t="s">
        <v>1047</v>
      </c>
      <c r="B570" t="s">
        <v>1048</v>
      </c>
      <c r="C570" t="str">
        <f>_xlfn.TEXTJOIN(",",TRUE, Employee[[#This Row],[Last Name]], Employee[[#This Row],[First Name]])</f>
        <v>Rogers, Colleen</v>
      </c>
      <c r="D570" t="s">
        <v>137</v>
      </c>
      <c r="E570" t="s">
        <v>1041</v>
      </c>
      <c r="F570" s="61">
        <v>39816</v>
      </c>
      <c r="G570">
        <v>8</v>
      </c>
      <c r="H570" t="s">
        <v>168</v>
      </c>
      <c r="I570" s="62">
        <v>98770</v>
      </c>
      <c r="J570">
        <v>1</v>
      </c>
    </row>
    <row r="571" spans="1:10" x14ac:dyDescent="0.25">
      <c r="A571" t="s">
        <v>1049</v>
      </c>
      <c r="B571" t="s">
        <v>291</v>
      </c>
      <c r="C571" t="str">
        <f>_xlfn.TEXTJOIN(",",TRUE, Employee[[#This Row],[Last Name]], Employee[[#This Row],[First Name]])</f>
        <v>Wilcox, Robert</v>
      </c>
      <c r="D571" t="s">
        <v>161</v>
      </c>
      <c r="E571" t="s">
        <v>1041</v>
      </c>
      <c r="F571" s="61">
        <v>36884</v>
      </c>
      <c r="G571">
        <v>16</v>
      </c>
      <c r="H571" t="s">
        <v>145</v>
      </c>
      <c r="I571" s="62">
        <v>100248</v>
      </c>
      <c r="J571">
        <v>4</v>
      </c>
    </row>
    <row r="572" spans="1:10" x14ac:dyDescent="0.25">
      <c r="A572" t="s">
        <v>1050</v>
      </c>
      <c r="B572" t="s">
        <v>662</v>
      </c>
      <c r="C572" t="str">
        <f>_xlfn.TEXTJOIN(",",TRUE, Employee[[#This Row],[Last Name]], Employee[[#This Row],[First Name]])</f>
        <v>Abbott, James</v>
      </c>
      <c r="D572" t="s">
        <v>155</v>
      </c>
      <c r="E572" t="s">
        <v>1041</v>
      </c>
      <c r="F572" s="61">
        <v>37604</v>
      </c>
      <c r="G572">
        <v>14</v>
      </c>
      <c r="H572" t="s">
        <v>139</v>
      </c>
      <c r="I572" s="62">
        <v>68370</v>
      </c>
      <c r="J572">
        <v>4</v>
      </c>
    </row>
    <row r="573" spans="1:10" x14ac:dyDescent="0.25">
      <c r="A573" t="s">
        <v>1051</v>
      </c>
      <c r="B573" t="s">
        <v>429</v>
      </c>
      <c r="C573" t="str">
        <f>_xlfn.TEXTJOIN(",",TRUE, Employee[[#This Row],[Last Name]], Employee[[#This Row],[First Name]])</f>
        <v>Kirk, Chris</v>
      </c>
      <c r="D573" t="s">
        <v>161</v>
      </c>
      <c r="E573" t="s">
        <v>1041</v>
      </c>
      <c r="F573" s="61">
        <v>37609</v>
      </c>
      <c r="G573">
        <v>14</v>
      </c>
      <c r="H573" t="s">
        <v>152</v>
      </c>
      <c r="I573" s="62">
        <v>52504</v>
      </c>
      <c r="J573">
        <v>4</v>
      </c>
    </row>
    <row r="574" spans="1:10" x14ac:dyDescent="0.25">
      <c r="A574" t="s">
        <v>1052</v>
      </c>
      <c r="B574" t="s">
        <v>1053</v>
      </c>
      <c r="C574" t="str">
        <f>_xlfn.TEXTJOIN(",",TRUE, Employee[[#This Row],[Last Name]], Employee[[#This Row],[First Name]])</f>
        <v>Black, Cliff</v>
      </c>
      <c r="D574" t="s">
        <v>151</v>
      </c>
      <c r="E574" t="s">
        <v>1041</v>
      </c>
      <c r="F574" s="61">
        <v>38703</v>
      </c>
      <c r="G574">
        <v>11</v>
      </c>
      <c r="H574" t="s">
        <v>185</v>
      </c>
      <c r="I574" s="62">
        <v>47140</v>
      </c>
      <c r="J574">
        <v>5</v>
      </c>
    </row>
    <row r="575" spans="1:10" hidden="1" x14ac:dyDescent="0.25">
      <c r="A575" t="s">
        <v>1054</v>
      </c>
      <c r="B575" t="s">
        <v>1055</v>
      </c>
      <c r="C575" t="str">
        <f>_xlfn.TEXTJOIN(",",TRUE, Employee[[#This Row],[Last Name]], Employee[[#This Row],[First Name]])</f>
        <v>Johnson, Mary Jo</v>
      </c>
      <c r="D575" t="s">
        <v>178</v>
      </c>
      <c r="E575" t="s">
        <v>1041</v>
      </c>
      <c r="F575" s="61">
        <v>40526</v>
      </c>
      <c r="G575">
        <v>6</v>
      </c>
      <c r="H575" t="s">
        <v>185</v>
      </c>
      <c r="I575" s="62">
        <v>100874</v>
      </c>
      <c r="J575">
        <v>3</v>
      </c>
    </row>
    <row r="576" spans="1:10" hidden="1" x14ac:dyDescent="0.25">
      <c r="A576" t="s">
        <v>1056</v>
      </c>
      <c r="B576" t="s">
        <v>429</v>
      </c>
      <c r="C576" t="str">
        <f>_xlfn.TEXTJOIN(",",TRUE, Employee[[#This Row],[Last Name]], Employee[[#This Row],[First Name]])</f>
        <v>Moreno, Chris</v>
      </c>
      <c r="D576" t="s">
        <v>137</v>
      </c>
      <c r="E576" t="s">
        <v>1041</v>
      </c>
      <c r="F576" s="61">
        <v>40893</v>
      </c>
      <c r="G576">
        <v>5</v>
      </c>
      <c r="H576" t="s">
        <v>185</v>
      </c>
      <c r="I576" s="62">
        <v>59380</v>
      </c>
      <c r="J576">
        <v>2</v>
      </c>
    </row>
    <row r="577" spans="1:10" hidden="1" x14ac:dyDescent="0.25">
      <c r="A577" t="s">
        <v>1057</v>
      </c>
      <c r="B577" t="s">
        <v>191</v>
      </c>
      <c r="C577" t="str">
        <f>_xlfn.TEXTJOIN(",",TRUE, Employee[[#This Row],[Last Name]], Employee[[#This Row],[First Name]])</f>
        <v>Alvarez, Steven</v>
      </c>
      <c r="D577" t="s">
        <v>148</v>
      </c>
      <c r="E577" t="s">
        <v>1041</v>
      </c>
      <c r="F577" s="61">
        <v>41665</v>
      </c>
      <c r="G577">
        <v>3</v>
      </c>
      <c r="H577" t="s">
        <v>145</v>
      </c>
      <c r="I577" s="62">
        <v>59840</v>
      </c>
      <c r="J577">
        <v>2</v>
      </c>
    </row>
    <row r="578" spans="1:10" hidden="1" x14ac:dyDescent="0.25">
      <c r="A578" t="s">
        <v>1058</v>
      </c>
      <c r="B578" t="s">
        <v>136</v>
      </c>
      <c r="C578" t="str">
        <f>_xlfn.TEXTJOIN(",",TRUE, Employee[[#This Row],[Last Name]], Employee[[#This Row],[First Name]])</f>
        <v>Strong, Lisa</v>
      </c>
      <c r="D578" t="s">
        <v>137</v>
      </c>
      <c r="E578" t="s">
        <v>1041</v>
      </c>
      <c r="F578" s="61">
        <v>40201</v>
      </c>
      <c r="G578">
        <v>7</v>
      </c>
      <c r="H578" t="s">
        <v>139</v>
      </c>
      <c r="I578" s="62">
        <v>73326</v>
      </c>
      <c r="J578">
        <v>3</v>
      </c>
    </row>
    <row r="579" spans="1:10" hidden="1" x14ac:dyDescent="0.25">
      <c r="A579" t="s">
        <v>1059</v>
      </c>
      <c r="B579" t="s">
        <v>924</v>
      </c>
      <c r="C579" t="str">
        <f>_xlfn.TEXTJOIN(",",TRUE, Employee[[#This Row],[Last Name]], Employee[[#This Row],[First Name]])</f>
        <v>Charles, Jeffrey</v>
      </c>
      <c r="D579" t="s">
        <v>148</v>
      </c>
      <c r="E579" t="s">
        <v>1041</v>
      </c>
      <c r="F579" s="61">
        <v>40212</v>
      </c>
      <c r="G579">
        <v>7</v>
      </c>
      <c r="H579" t="s">
        <v>185</v>
      </c>
      <c r="I579" s="62">
        <v>111686</v>
      </c>
      <c r="J579">
        <v>2</v>
      </c>
    </row>
    <row r="580" spans="1:10" hidden="1" x14ac:dyDescent="0.25">
      <c r="A580" t="s">
        <v>1060</v>
      </c>
      <c r="B580" t="s">
        <v>867</v>
      </c>
      <c r="C580" t="str">
        <f>_xlfn.TEXTJOIN(",",TRUE, Employee[[#This Row],[Last Name]], Employee[[#This Row],[First Name]])</f>
        <v>Mason, Suzanne</v>
      </c>
      <c r="D580" t="s">
        <v>161</v>
      </c>
      <c r="E580" t="s">
        <v>1041</v>
      </c>
      <c r="F580" s="61">
        <v>40219</v>
      </c>
      <c r="G580">
        <v>7</v>
      </c>
      <c r="H580" t="s">
        <v>185</v>
      </c>
      <c r="I580" s="62">
        <v>118791</v>
      </c>
      <c r="J580">
        <v>2</v>
      </c>
    </row>
    <row r="581" spans="1:10" hidden="1" x14ac:dyDescent="0.25">
      <c r="A581" t="s">
        <v>1061</v>
      </c>
      <c r="B581" t="s">
        <v>291</v>
      </c>
      <c r="C581" t="str">
        <f>_xlfn.TEXTJOIN(",",TRUE, Employee[[#This Row],[Last Name]], Employee[[#This Row],[First Name]])</f>
        <v>Acosta, Robert</v>
      </c>
      <c r="D581" t="s">
        <v>161</v>
      </c>
      <c r="E581" t="s">
        <v>1041</v>
      </c>
      <c r="F581" s="61">
        <v>40215</v>
      </c>
      <c r="G581">
        <v>7</v>
      </c>
      <c r="H581" t="s">
        <v>139</v>
      </c>
      <c r="I581" s="62">
        <v>55164</v>
      </c>
      <c r="J581">
        <v>5</v>
      </c>
    </row>
    <row r="582" spans="1:10" x14ac:dyDescent="0.25">
      <c r="A582" t="s">
        <v>1062</v>
      </c>
      <c r="B582" t="s">
        <v>1063</v>
      </c>
      <c r="C582" t="str">
        <f>_xlfn.TEXTJOIN(",",TRUE, Employee[[#This Row],[Last Name]], Employee[[#This Row],[First Name]])</f>
        <v>Pugh, Lawrence</v>
      </c>
      <c r="D582" t="s">
        <v>178</v>
      </c>
      <c r="E582" t="s">
        <v>1041</v>
      </c>
      <c r="F582" s="61">
        <v>36920</v>
      </c>
      <c r="G582">
        <v>16</v>
      </c>
      <c r="H582" t="s">
        <v>152</v>
      </c>
      <c r="I582" s="62">
        <v>51435</v>
      </c>
      <c r="J582">
        <v>5</v>
      </c>
    </row>
    <row r="583" spans="1:10" x14ac:dyDescent="0.25">
      <c r="A583" t="s">
        <v>1064</v>
      </c>
      <c r="B583" t="s">
        <v>250</v>
      </c>
      <c r="C583" t="str">
        <f>_xlfn.TEXTJOIN(",",TRUE, Employee[[#This Row],[Last Name]], Employee[[#This Row],[First Name]])</f>
        <v>McDaniel, Tamara</v>
      </c>
      <c r="D583" t="s">
        <v>161</v>
      </c>
      <c r="E583" t="s">
        <v>1041</v>
      </c>
      <c r="F583" s="61">
        <v>37274</v>
      </c>
      <c r="G583">
        <v>15</v>
      </c>
      <c r="H583" t="s">
        <v>139</v>
      </c>
      <c r="I583" s="62">
        <v>97490</v>
      </c>
      <c r="J583">
        <v>2</v>
      </c>
    </row>
    <row r="584" spans="1:10" x14ac:dyDescent="0.25">
      <c r="A584" t="s">
        <v>1065</v>
      </c>
      <c r="B584" t="s">
        <v>1066</v>
      </c>
      <c r="C584" t="str">
        <f>_xlfn.TEXTJOIN(",",TRUE, Employee[[#This Row],[Last Name]], Employee[[#This Row],[First Name]])</f>
        <v>Hoffman, Brian D</v>
      </c>
      <c r="D584" t="s">
        <v>155</v>
      </c>
      <c r="E584" t="s">
        <v>1041</v>
      </c>
      <c r="F584" s="61">
        <v>37292</v>
      </c>
      <c r="G584">
        <v>15</v>
      </c>
      <c r="H584" t="s">
        <v>145</v>
      </c>
      <c r="I584" s="62">
        <v>107099</v>
      </c>
      <c r="J584">
        <v>5</v>
      </c>
    </row>
    <row r="585" spans="1:10" x14ac:dyDescent="0.25">
      <c r="A585" t="s">
        <v>1067</v>
      </c>
      <c r="B585" t="s">
        <v>254</v>
      </c>
      <c r="C585" t="str">
        <f>_xlfn.TEXTJOIN(",",TRUE, Employee[[#This Row],[Last Name]], Employee[[#This Row],[First Name]])</f>
        <v>Carpenter, Ronald</v>
      </c>
      <c r="D585" t="s">
        <v>151</v>
      </c>
      <c r="E585" t="s">
        <v>1041</v>
      </c>
      <c r="F585" s="61">
        <v>37635</v>
      </c>
      <c r="G585">
        <v>14</v>
      </c>
      <c r="H585" t="s">
        <v>145</v>
      </c>
      <c r="I585" s="62">
        <v>69464</v>
      </c>
      <c r="J585">
        <v>4</v>
      </c>
    </row>
    <row r="586" spans="1:10" x14ac:dyDescent="0.25">
      <c r="A586" t="s">
        <v>1068</v>
      </c>
      <c r="B586" t="s">
        <v>608</v>
      </c>
      <c r="C586" t="str">
        <f>_xlfn.TEXTJOIN(",",TRUE, Employee[[#This Row],[Last Name]], Employee[[#This Row],[First Name]])</f>
        <v>Stevens, Andrew</v>
      </c>
      <c r="D586" t="s">
        <v>148</v>
      </c>
      <c r="E586" t="s">
        <v>1041</v>
      </c>
      <c r="F586" s="61">
        <v>39105</v>
      </c>
      <c r="G586">
        <v>10</v>
      </c>
      <c r="H586" t="s">
        <v>145</v>
      </c>
      <c r="I586" s="62">
        <v>84796</v>
      </c>
      <c r="J586">
        <v>1</v>
      </c>
    </row>
    <row r="587" spans="1:10" hidden="1" x14ac:dyDescent="0.25">
      <c r="A587" t="s">
        <v>1069</v>
      </c>
      <c r="B587" t="s">
        <v>1070</v>
      </c>
      <c r="C587" t="str">
        <f>_xlfn.TEXTJOIN(",",TRUE, Employee[[#This Row],[Last Name]], Employee[[#This Row],[First Name]])</f>
        <v>Harrell, Cristin</v>
      </c>
      <c r="D587" t="s">
        <v>155</v>
      </c>
      <c r="E587" t="s">
        <v>1041</v>
      </c>
      <c r="F587" s="61">
        <v>41659</v>
      </c>
      <c r="G587">
        <v>3</v>
      </c>
      <c r="H587" t="s">
        <v>152</v>
      </c>
      <c r="I587" s="62">
        <v>111472</v>
      </c>
      <c r="J587">
        <v>3</v>
      </c>
    </row>
    <row r="588" spans="1:10" hidden="1" x14ac:dyDescent="0.25">
      <c r="A588" t="s">
        <v>1071</v>
      </c>
      <c r="B588" t="s">
        <v>1072</v>
      </c>
      <c r="C588" t="str">
        <f>_xlfn.TEXTJOIN(",",TRUE, Employee[[#This Row],[Last Name]], Employee[[#This Row],[First Name]])</f>
        <v>Dyer, Carrie</v>
      </c>
      <c r="D588" t="s">
        <v>155</v>
      </c>
      <c r="E588" t="s">
        <v>1041</v>
      </c>
      <c r="F588" s="61">
        <v>42068</v>
      </c>
      <c r="G588">
        <v>2</v>
      </c>
      <c r="H588" t="s">
        <v>139</v>
      </c>
      <c r="I588" s="62">
        <v>43558</v>
      </c>
      <c r="J588">
        <v>3</v>
      </c>
    </row>
    <row r="589" spans="1:10" hidden="1" x14ac:dyDescent="0.25">
      <c r="A589" t="s">
        <v>1073</v>
      </c>
      <c r="B589" t="s">
        <v>378</v>
      </c>
      <c r="C589" t="str">
        <f>_xlfn.TEXTJOIN(",",TRUE, Employee[[#This Row],[Last Name]], Employee[[#This Row],[First Name]])</f>
        <v>Blankenship, Roger</v>
      </c>
      <c r="D589" t="s">
        <v>155</v>
      </c>
      <c r="E589" t="s">
        <v>1041</v>
      </c>
      <c r="F589" s="61">
        <v>39862</v>
      </c>
      <c r="G589">
        <v>8</v>
      </c>
      <c r="H589" t="s">
        <v>139</v>
      </c>
      <c r="I589" s="62">
        <v>122616</v>
      </c>
      <c r="J589">
        <v>4</v>
      </c>
    </row>
    <row r="590" spans="1:10" x14ac:dyDescent="0.25">
      <c r="A590" t="s">
        <v>1074</v>
      </c>
      <c r="B590" t="s">
        <v>1075</v>
      </c>
      <c r="C590" t="str">
        <f>_xlfn.TEXTJOIN(",",TRUE, Employee[[#This Row],[Last Name]], Employee[[#This Row],[First Name]])</f>
        <v>Barnes, Grant</v>
      </c>
      <c r="D590" t="s">
        <v>161</v>
      </c>
      <c r="E590" t="s">
        <v>1041</v>
      </c>
      <c r="F590" s="61">
        <v>36939</v>
      </c>
      <c r="G590">
        <v>16</v>
      </c>
      <c r="H590" t="s">
        <v>145</v>
      </c>
      <c r="I590" s="62">
        <v>72880</v>
      </c>
      <c r="J590">
        <v>5</v>
      </c>
    </row>
    <row r="591" spans="1:10" x14ac:dyDescent="0.25">
      <c r="A591" t="s">
        <v>1076</v>
      </c>
      <c r="B591" t="s">
        <v>1077</v>
      </c>
      <c r="C591" t="str">
        <f>_xlfn.TEXTJOIN(",",TRUE, Employee[[#This Row],[Last Name]], Employee[[#This Row],[First Name]])</f>
        <v>Turner, Ray</v>
      </c>
      <c r="D591" t="s">
        <v>137</v>
      </c>
      <c r="E591" t="s">
        <v>1041</v>
      </c>
      <c r="F591" s="61">
        <v>36947</v>
      </c>
      <c r="G591">
        <v>16</v>
      </c>
      <c r="H591" t="s">
        <v>145</v>
      </c>
      <c r="I591" s="62">
        <v>44395</v>
      </c>
      <c r="J591">
        <v>5</v>
      </c>
    </row>
    <row r="592" spans="1:10" x14ac:dyDescent="0.25">
      <c r="A592" t="s">
        <v>1078</v>
      </c>
      <c r="B592" t="s">
        <v>384</v>
      </c>
      <c r="C592" t="str">
        <f>_xlfn.TEXTJOIN(",",TRUE, Employee[[#This Row],[Last Name]], Employee[[#This Row],[First Name]])</f>
        <v>Solomon, Michael</v>
      </c>
      <c r="D592" t="s">
        <v>155</v>
      </c>
      <c r="E592" t="s">
        <v>1041</v>
      </c>
      <c r="F592" s="61">
        <v>37323</v>
      </c>
      <c r="G592">
        <v>15</v>
      </c>
      <c r="H592" t="s">
        <v>139</v>
      </c>
      <c r="I592" s="62">
        <v>46803</v>
      </c>
      <c r="J592">
        <v>5</v>
      </c>
    </row>
    <row r="593" spans="1:10" hidden="1" x14ac:dyDescent="0.25">
      <c r="A593" t="s">
        <v>1079</v>
      </c>
      <c r="B593" t="s">
        <v>525</v>
      </c>
      <c r="C593" t="str">
        <f>_xlfn.TEXTJOIN(",",TRUE, Employee[[#This Row],[Last Name]], Employee[[#This Row],[First Name]])</f>
        <v>Clark, William</v>
      </c>
      <c r="D593" t="s">
        <v>155</v>
      </c>
      <c r="E593" t="s">
        <v>1041</v>
      </c>
      <c r="F593" s="61">
        <v>39871</v>
      </c>
      <c r="G593">
        <v>8</v>
      </c>
      <c r="H593" t="s">
        <v>145</v>
      </c>
      <c r="I593" s="62">
        <v>110697</v>
      </c>
      <c r="J593">
        <v>2</v>
      </c>
    </row>
    <row r="594" spans="1:10" hidden="1" x14ac:dyDescent="0.25">
      <c r="A594" t="s">
        <v>1080</v>
      </c>
      <c r="B594" t="s">
        <v>1081</v>
      </c>
      <c r="C594" t="str">
        <f>_xlfn.TEXTJOIN(",",TRUE, Employee[[#This Row],[Last Name]], Employee[[#This Row],[First Name]])</f>
        <v>Tyler, Javier</v>
      </c>
      <c r="D594" t="s">
        <v>137</v>
      </c>
      <c r="E594" t="s">
        <v>1041</v>
      </c>
      <c r="F594" s="61">
        <v>40231</v>
      </c>
      <c r="G594">
        <v>7</v>
      </c>
      <c r="H594" t="s">
        <v>185</v>
      </c>
      <c r="I594" s="62">
        <v>71466</v>
      </c>
      <c r="J594">
        <v>5</v>
      </c>
    </row>
    <row r="595" spans="1:10" hidden="1" x14ac:dyDescent="0.25">
      <c r="A595" t="s">
        <v>1082</v>
      </c>
      <c r="B595" t="s">
        <v>1083</v>
      </c>
      <c r="C595" t="str">
        <f>_xlfn.TEXTJOIN(",",TRUE, Employee[[#This Row],[Last Name]], Employee[[#This Row],[First Name]])</f>
        <v>Owens, Dwight</v>
      </c>
      <c r="D595" t="s">
        <v>155</v>
      </c>
      <c r="E595" t="s">
        <v>1041</v>
      </c>
      <c r="F595" s="61">
        <v>42094</v>
      </c>
      <c r="G595">
        <v>2</v>
      </c>
      <c r="H595" t="s">
        <v>139</v>
      </c>
      <c r="I595" s="62">
        <v>51250</v>
      </c>
      <c r="J595">
        <v>4</v>
      </c>
    </row>
    <row r="596" spans="1:10" hidden="1" x14ac:dyDescent="0.25">
      <c r="A596" t="s">
        <v>1084</v>
      </c>
      <c r="B596" t="s">
        <v>1085</v>
      </c>
      <c r="C596" t="str">
        <f>_xlfn.TEXTJOIN(",",TRUE, Employee[[#This Row],[Last Name]], Employee[[#This Row],[First Name]])</f>
        <v>Schroeder, Bennet</v>
      </c>
      <c r="D596" t="s">
        <v>155</v>
      </c>
      <c r="E596" t="s">
        <v>1041</v>
      </c>
      <c r="F596" s="61">
        <v>40261</v>
      </c>
      <c r="G596">
        <v>7</v>
      </c>
      <c r="H596" t="s">
        <v>142</v>
      </c>
      <c r="I596" s="62">
        <v>76713</v>
      </c>
      <c r="J596">
        <v>3</v>
      </c>
    </row>
    <row r="597" spans="1:10" x14ac:dyDescent="0.25">
      <c r="A597" t="s">
        <v>1086</v>
      </c>
      <c r="B597" t="s">
        <v>214</v>
      </c>
      <c r="C597" t="str">
        <f>_xlfn.TEXTJOIN(",",TRUE, Employee[[#This Row],[Last Name]], Employee[[#This Row],[First Name]])</f>
        <v>Henry, Craig</v>
      </c>
      <c r="D597" t="s">
        <v>155</v>
      </c>
      <c r="E597" t="s">
        <v>1041</v>
      </c>
      <c r="F597" s="61">
        <v>36974</v>
      </c>
      <c r="G597">
        <v>16</v>
      </c>
      <c r="H597" t="s">
        <v>185</v>
      </c>
      <c r="I597" s="62">
        <v>70171</v>
      </c>
      <c r="J597">
        <v>3</v>
      </c>
    </row>
    <row r="598" spans="1:10" x14ac:dyDescent="0.25">
      <c r="A598" t="s">
        <v>1087</v>
      </c>
      <c r="B598" t="s">
        <v>1088</v>
      </c>
      <c r="C598" t="str">
        <f>_xlfn.TEXTJOIN(",",TRUE, Employee[[#This Row],[Last Name]], Employee[[#This Row],[First Name]])</f>
        <v>Guzman, Don</v>
      </c>
      <c r="D598" t="s">
        <v>161</v>
      </c>
      <c r="E598" t="s">
        <v>1041</v>
      </c>
      <c r="F598" s="61">
        <v>37720</v>
      </c>
      <c r="G598">
        <v>14</v>
      </c>
      <c r="H598" t="s">
        <v>145</v>
      </c>
      <c r="I598" s="62">
        <v>97105</v>
      </c>
      <c r="J598">
        <v>3</v>
      </c>
    </row>
    <row r="599" spans="1:10" hidden="1" x14ac:dyDescent="0.25">
      <c r="A599" t="s">
        <v>1089</v>
      </c>
      <c r="B599" t="s">
        <v>1090</v>
      </c>
      <c r="C599" t="str">
        <f>_xlfn.TEXTJOIN(",",TRUE, Employee[[#This Row],[Last Name]], Employee[[#This Row],[First Name]])</f>
        <v>Marks, LaReina</v>
      </c>
      <c r="D599" t="s">
        <v>155</v>
      </c>
      <c r="E599" t="s">
        <v>1041</v>
      </c>
      <c r="F599" s="61">
        <v>39934</v>
      </c>
      <c r="G599">
        <v>8</v>
      </c>
      <c r="H599" t="s">
        <v>185</v>
      </c>
      <c r="I599" s="62">
        <v>79550</v>
      </c>
      <c r="J599">
        <v>5</v>
      </c>
    </row>
    <row r="600" spans="1:10" x14ac:dyDescent="0.25">
      <c r="A600" t="s">
        <v>1091</v>
      </c>
      <c r="B600" t="s">
        <v>339</v>
      </c>
      <c r="C600" t="str">
        <f>_xlfn.TEXTJOIN(",",TRUE, Employee[[#This Row],[Last Name]], Employee[[#This Row],[First Name]])</f>
        <v>Aguilar, Kevin</v>
      </c>
      <c r="D600" t="s">
        <v>137</v>
      </c>
      <c r="E600" t="s">
        <v>1041</v>
      </c>
      <c r="F600" s="61">
        <v>37368</v>
      </c>
      <c r="G600">
        <v>15</v>
      </c>
      <c r="H600" t="s">
        <v>185</v>
      </c>
      <c r="I600" s="62">
        <v>85241</v>
      </c>
      <c r="J600">
        <v>3</v>
      </c>
    </row>
    <row r="601" spans="1:10" x14ac:dyDescent="0.25">
      <c r="A601" t="s">
        <v>1092</v>
      </c>
      <c r="B601" t="s">
        <v>1093</v>
      </c>
      <c r="C601" t="str">
        <f>_xlfn.TEXTJOIN(",",TRUE, Employee[[#This Row],[Last Name]], Employee[[#This Row],[First Name]])</f>
        <v>Gaines, Sheela</v>
      </c>
      <c r="D601" t="s">
        <v>155</v>
      </c>
      <c r="E601" t="s">
        <v>1041</v>
      </c>
      <c r="F601" s="61">
        <v>37390</v>
      </c>
      <c r="G601">
        <v>15</v>
      </c>
      <c r="H601" t="s">
        <v>139</v>
      </c>
      <c r="I601" s="62">
        <v>102721</v>
      </c>
      <c r="J601">
        <v>4</v>
      </c>
    </row>
    <row r="602" spans="1:10" x14ac:dyDescent="0.25">
      <c r="A602" t="s">
        <v>1094</v>
      </c>
      <c r="B602" t="s">
        <v>1095</v>
      </c>
      <c r="C602" t="str">
        <f>_xlfn.TEXTJOIN(",",TRUE, Employee[[#This Row],[Last Name]], Employee[[#This Row],[First Name]])</f>
        <v>Rush, Lateef</v>
      </c>
      <c r="D602" t="s">
        <v>137</v>
      </c>
      <c r="E602" t="s">
        <v>1041</v>
      </c>
      <c r="F602" s="61">
        <v>38853</v>
      </c>
      <c r="G602">
        <v>11</v>
      </c>
      <c r="H602" t="s">
        <v>142</v>
      </c>
      <c r="I602" s="62">
        <v>60764</v>
      </c>
      <c r="J602">
        <v>4</v>
      </c>
    </row>
    <row r="603" spans="1:10" x14ac:dyDescent="0.25">
      <c r="A603" t="s">
        <v>1096</v>
      </c>
      <c r="B603" t="s">
        <v>384</v>
      </c>
      <c r="C603" t="str">
        <f>_xlfn.TEXTJOIN(",",TRUE, Employee[[#This Row],[Last Name]], Employee[[#This Row],[First Name]])</f>
        <v>Munoz, Michael</v>
      </c>
      <c r="D603" t="s">
        <v>178</v>
      </c>
      <c r="E603" t="s">
        <v>1041</v>
      </c>
      <c r="F603" s="61">
        <v>38871</v>
      </c>
      <c r="G603">
        <v>11</v>
      </c>
      <c r="H603" t="s">
        <v>139</v>
      </c>
      <c r="I603" s="62">
        <v>110815</v>
      </c>
      <c r="J603">
        <v>5</v>
      </c>
    </row>
    <row r="604" spans="1:10" hidden="1" x14ac:dyDescent="0.25">
      <c r="A604" t="s">
        <v>1097</v>
      </c>
      <c r="B604" t="s">
        <v>1098</v>
      </c>
      <c r="C604" t="str">
        <f>_xlfn.TEXTJOIN(",",TRUE, Employee[[#This Row],[Last Name]], Employee[[#This Row],[First Name]])</f>
        <v>Horton, Cleatis</v>
      </c>
      <c r="D604" t="s">
        <v>161</v>
      </c>
      <c r="E604" t="s">
        <v>1041</v>
      </c>
      <c r="F604" s="61">
        <v>41428</v>
      </c>
      <c r="G604">
        <v>4</v>
      </c>
      <c r="H604" t="s">
        <v>145</v>
      </c>
      <c r="I604" s="62">
        <v>100072</v>
      </c>
      <c r="J604">
        <v>3</v>
      </c>
    </row>
    <row r="605" spans="1:10" hidden="1" x14ac:dyDescent="0.25">
      <c r="A605" t="s">
        <v>1099</v>
      </c>
      <c r="B605" t="s">
        <v>1100</v>
      </c>
      <c r="C605" t="str">
        <f>_xlfn.TEXTJOIN(",",TRUE, Employee[[#This Row],[Last Name]], Employee[[#This Row],[First Name]])</f>
        <v>Lane, Brandyn</v>
      </c>
      <c r="D605" t="s">
        <v>161</v>
      </c>
      <c r="E605" t="s">
        <v>1041</v>
      </c>
      <c r="F605" s="61">
        <v>41804</v>
      </c>
      <c r="G605">
        <v>3</v>
      </c>
      <c r="H605" t="s">
        <v>145</v>
      </c>
      <c r="I605" s="62">
        <v>54619</v>
      </c>
      <c r="J605">
        <v>2</v>
      </c>
    </row>
    <row r="606" spans="1:10" hidden="1" x14ac:dyDescent="0.25">
      <c r="A606" t="s">
        <v>1101</v>
      </c>
      <c r="B606" t="s">
        <v>929</v>
      </c>
      <c r="C606" t="str">
        <f>_xlfn.TEXTJOIN(",",TRUE, Employee[[#This Row],[Last Name]], Employee[[#This Row],[First Name]])</f>
        <v>Duncan, George</v>
      </c>
      <c r="D606" t="s">
        <v>155</v>
      </c>
      <c r="E606" t="s">
        <v>1041</v>
      </c>
      <c r="F606" s="61">
        <v>40351</v>
      </c>
      <c r="G606">
        <v>7</v>
      </c>
      <c r="H606" t="s">
        <v>139</v>
      </c>
      <c r="I606" s="62">
        <v>65878</v>
      </c>
      <c r="J606">
        <v>4</v>
      </c>
    </row>
    <row r="607" spans="1:10" hidden="1" x14ac:dyDescent="0.25">
      <c r="A607" t="s">
        <v>1102</v>
      </c>
      <c r="B607" t="s">
        <v>339</v>
      </c>
      <c r="C607" t="str">
        <f>_xlfn.TEXTJOIN(",",TRUE, Employee[[#This Row],[Last Name]], Employee[[#This Row],[First Name]])</f>
        <v>Bruce, Kevin</v>
      </c>
      <c r="D607" t="s">
        <v>161</v>
      </c>
      <c r="E607" t="s">
        <v>1041</v>
      </c>
      <c r="F607" s="61">
        <v>40371</v>
      </c>
      <c r="G607">
        <v>7</v>
      </c>
      <c r="H607" t="s">
        <v>145</v>
      </c>
      <c r="I607" s="62">
        <v>79913</v>
      </c>
      <c r="J607">
        <v>5</v>
      </c>
    </row>
    <row r="608" spans="1:10" x14ac:dyDescent="0.25">
      <c r="A608" t="s">
        <v>1103</v>
      </c>
      <c r="B608" t="s">
        <v>1104</v>
      </c>
      <c r="C608" t="str">
        <f>_xlfn.TEXTJOIN(",",TRUE, Employee[[#This Row],[Last Name]], Employee[[#This Row],[First Name]])</f>
        <v>Ruiz, Randall</v>
      </c>
      <c r="D608" t="s">
        <v>137</v>
      </c>
      <c r="E608" t="s">
        <v>1041</v>
      </c>
      <c r="F608" s="61">
        <v>37438</v>
      </c>
      <c r="G608">
        <v>15</v>
      </c>
      <c r="H608" t="s">
        <v>185</v>
      </c>
      <c r="I608" s="62">
        <v>54791</v>
      </c>
      <c r="J608">
        <v>1</v>
      </c>
    </row>
    <row r="609" spans="1:10" x14ac:dyDescent="0.25">
      <c r="A609" t="s">
        <v>1105</v>
      </c>
      <c r="B609" t="s">
        <v>380</v>
      </c>
      <c r="C609" t="str">
        <f>_xlfn.TEXTJOIN(",",TRUE, Employee[[#This Row],[Last Name]], Employee[[#This Row],[First Name]])</f>
        <v>Warner, Stephen</v>
      </c>
      <c r="D609" t="s">
        <v>148</v>
      </c>
      <c r="E609" t="s">
        <v>1041</v>
      </c>
      <c r="F609" s="61">
        <v>38160</v>
      </c>
      <c r="G609">
        <v>13</v>
      </c>
      <c r="H609" t="s">
        <v>145</v>
      </c>
      <c r="I609" s="62">
        <v>78162</v>
      </c>
      <c r="J609">
        <v>2</v>
      </c>
    </row>
    <row r="610" spans="1:10" x14ac:dyDescent="0.25">
      <c r="A610" t="s">
        <v>1106</v>
      </c>
      <c r="B610" t="s">
        <v>309</v>
      </c>
      <c r="C610" t="str">
        <f>_xlfn.TEXTJOIN(",",TRUE, Employee[[#This Row],[Last Name]], Employee[[#This Row],[First Name]])</f>
        <v>Glenn, Christopher</v>
      </c>
      <c r="D610" t="s">
        <v>178</v>
      </c>
      <c r="E610" t="s">
        <v>1041</v>
      </c>
      <c r="F610" s="61">
        <v>38893</v>
      </c>
      <c r="G610">
        <v>11</v>
      </c>
      <c r="H610" t="s">
        <v>139</v>
      </c>
      <c r="I610" s="62">
        <v>43461</v>
      </c>
      <c r="J610">
        <v>1</v>
      </c>
    </row>
    <row r="611" spans="1:10" hidden="1" x14ac:dyDescent="0.25">
      <c r="A611" t="s">
        <v>1107</v>
      </c>
      <c r="B611" t="s">
        <v>1108</v>
      </c>
      <c r="C611" t="str">
        <f>_xlfn.TEXTJOIN(",",TRUE, Employee[[#This Row],[Last Name]], Employee[[#This Row],[First Name]])</f>
        <v>Vega, Alexandra</v>
      </c>
      <c r="D611" t="s">
        <v>155</v>
      </c>
      <c r="E611" t="s">
        <v>1041</v>
      </c>
      <c r="F611" s="61">
        <v>39980</v>
      </c>
      <c r="G611">
        <v>8</v>
      </c>
      <c r="H611" t="s">
        <v>139</v>
      </c>
      <c r="I611" s="62">
        <v>65258</v>
      </c>
      <c r="J611">
        <v>3</v>
      </c>
    </row>
    <row r="612" spans="1:10" hidden="1" x14ac:dyDescent="0.25">
      <c r="A612" t="s">
        <v>1109</v>
      </c>
      <c r="B612" t="s">
        <v>521</v>
      </c>
      <c r="C612" t="str">
        <f>_xlfn.TEXTJOIN(",",TRUE, Employee[[#This Row],[Last Name]], Employee[[#This Row],[First Name]])</f>
        <v>Murphy, Jeff</v>
      </c>
      <c r="D612" t="s">
        <v>148</v>
      </c>
      <c r="E612" t="s">
        <v>1041</v>
      </c>
      <c r="F612" s="61">
        <v>41837</v>
      </c>
      <c r="G612">
        <v>3</v>
      </c>
      <c r="H612" t="s">
        <v>139</v>
      </c>
      <c r="I612" s="62">
        <v>78245</v>
      </c>
      <c r="J612">
        <v>4</v>
      </c>
    </row>
    <row r="613" spans="1:10" x14ac:dyDescent="0.25">
      <c r="A613" t="s">
        <v>1110</v>
      </c>
      <c r="B613" t="s">
        <v>1111</v>
      </c>
      <c r="C613" t="str">
        <f>_xlfn.TEXTJOIN(",",TRUE, Employee[[#This Row],[Last Name]], Employee[[#This Row],[First Name]])</f>
        <v>Middleton, Jen</v>
      </c>
      <c r="D613" t="s">
        <v>161</v>
      </c>
      <c r="E613" t="s">
        <v>1041</v>
      </c>
      <c r="F613" s="61">
        <v>37090</v>
      </c>
      <c r="G613">
        <v>16</v>
      </c>
      <c r="H613" t="s">
        <v>142</v>
      </c>
      <c r="I613" s="62">
        <v>77028</v>
      </c>
      <c r="J613">
        <v>1</v>
      </c>
    </row>
    <row r="614" spans="1:10" hidden="1" x14ac:dyDescent="0.25">
      <c r="A614" t="s">
        <v>1112</v>
      </c>
      <c r="B614" t="s">
        <v>384</v>
      </c>
      <c r="C614" t="str">
        <f>_xlfn.TEXTJOIN(",",TRUE, Employee[[#This Row],[Last Name]], Employee[[#This Row],[First Name]])</f>
        <v>Walter, Michael</v>
      </c>
      <c r="D614" t="s">
        <v>161</v>
      </c>
      <c r="E614" t="s">
        <v>1041</v>
      </c>
      <c r="F614" s="61">
        <v>42235</v>
      </c>
      <c r="G614">
        <v>2</v>
      </c>
      <c r="H614" t="s">
        <v>168</v>
      </c>
      <c r="I614" s="62">
        <v>66268</v>
      </c>
      <c r="J614">
        <v>1</v>
      </c>
    </row>
    <row r="615" spans="1:10" hidden="1" x14ac:dyDescent="0.25">
      <c r="A615" t="s">
        <v>1113</v>
      </c>
      <c r="B615" t="s">
        <v>218</v>
      </c>
      <c r="C615" t="str">
        <f>_xlfn.TEXTJOIN(",",TRUE, Employee[[#This Row],[Last Name]], Employee[[#This Row],[First Name]])</f>
        <v>Ferguson, John</v>
      </c>
      <c r="D615" t="s">
        <v>161</v>
      </c>
      <c r="E615" t="s">
        <v>1041</v>
      </c>
      <c r="F615" s="61">
        <v>40053</v>
      </c>
      <c r="G615">
        <v>8</v>
      </c>
      <c r="H615" t="s">
        <v>185</v>
      </c>
      <c r="I615" s="62">
        <v>122400</v>
      </c>
      <c r="J615">
        <v>2</v>
      </c>
    </row>
    <row r="616" spans="1:10" x14ac:dyDescent="0.25">
      <c r="A616" t="s">
        <v>1114</v>
      </c>
      <c r="B616" t="s">
        <v>258</v>
      </c>
      <c r="C616" t="str">
        <f>_xlfn.TEXTJOIN(",",TRUE, Employee[[#This Row],[Last Name]], Employee[[#This Row],[First Name]])</f>
        <v>Dennis, Paul</v>
      </c>
      <c r="D616" t="s">
        <v>161</v>
      </c>
      <c r="E616" t="s">
        <v>1041</v>
      </c>
      <c r="F616" s="61">
        <v>37484</v>
      </c>
      <c r="G616">
        <v>15</v>
      </c>
      <c r="H616" t="s">
        <v>145</v>
      </c>
      <c r="I616" s="62">
        <v>64141</v>
      </c>
      <c r="J616">
        <v>4</v>
      </c>
    </row>
    <row r="617" spans="1:10" x14ac:dyDescent="0.25">
      <c r="A617" t="s">
        <v>1115</v>
      </c>
      <c r="B617" t="s">
        <v>907</v>
      </c>
      <c r="C617" t="str">
        <f>_xlfn.TEXTJOIN(",",TRUE, Employee[[#This Row],[Last Name]], Employee[[#This Row],[First Name]])</f>
        <v>Collier, Dean</v>
      </c>
      <c r="D617" t="s">
        <v>155</v>
      </c>
      <c r="E617" t="s">
        <v>1041</v>
      </c>
      <c r="F617" s="61">
        <v>37485</v>
      </c>
      <c r="G617">
        <v>15</v>
      </c>
      <c r="H617" t="s">
        <v>142</v>
      </c>
      <c r="I617" s="62">
        <v>101365</v>
      </c>
      <c r="J617">
        <v>5</v>
      </c>
    </row>
    <row r="618" spans="1:10" x14ac:dyDescent="0.25">
      <c r="A618" t="s">
        <v>1116</v>
      </c>
      <c r="B618" t="s">
        <v>384</v>
      </c>
      <c r="C618" t="str">
        <f>_xlfn.TEXTJOIN(",",TRUE, Employee[[#This Row],[Last Name]], Employee[[#This Row],[First Name]])</f>
        <v>Santiago, Michael</v>
      </c>
      <c r="D618" t="s">
        <v>155</v>
      </c>
      <c r="E618" t="s">
        <v>1041</v>
      </c>
      <c r="F618" s="61">
        <v>37501</v>
      </c>
      <c r="G618">
        <v>15</v>
      </c>
      <c r="H618" t="s">
        <v>168</v>
      </c>
      <c r="I618" s="62">
        <v>81635</v>
      </c>
      <c r="J618">
        <v>1</v>
      </c>
    </row>
    <row r="619" spans="1:10" x14ac:dyDescent="0.25">
      <c r="A619" t="s">
        <v>1117</v>
      </c>
      <c r="B619" t="s">
        <v>384</v>
      </c>
      <c r="C619" t="str">
        <f>_xlfn.TEXTJOIN(",",TRUE, Employee[[#This Row],[Last Name]], Employee[[#This Row],[First Name]])</f>
        <v>Paul, Michael</v>
      </c>
      <c r="D619" t="s">
        <v>137</v>
      </c>
      <c r="E619" t="s">
        <v>1041</v>
      </c>
      <c r="F619" s="61">
        <v>39315</v>
      </c>
      <c r="G619">
        <v>10</v>
      </c>
      <c r="H619" t="s">
        <v>185</v>
      </c>
      <c r="I619" s="62">
        <v>116549</v>
      </c>
      <c r="J619">
        <v>5</v>
      </c>
    </row>
    <row r="620" spans="1:10" hidden="1" x14ac:dyDescent="0.25">
      <c r="A620" t="s">
        <v>1118</v>
      </c>
      <c r="B620" t="s">
        <v>1119</v>
      </c>
      <c r="C620" t="str">
        <f>_xlfn.TEXTJOIN(",",TRUE, Employee[[#This Row],[Last Name]], Employee[[#This Row],[First Name]])</f>
        <v>Branch, Brady</v>
      </c>
      <c r="D620" t="s">
        <v>155</v>
      </c>
      <c r="E620" t="s">
        <v>1041</v>
      </c>
      <c r="F620" s="61">
        <v>40798</v>
      </c>
      <c r="G620">
        <v>6</v>
      </c>
      <c r="H620" t="s">
        <v>145</v>
      </c>
      <c r="I620" s="62">
        <v>97544</v>
      </c>
      <c r="J620">
        <v>5</v>
      </c>
    </row>
    <row r="621" spans="1:10" hidden="1" x14ac:dyDescent="0.25">
      <c r="A621" t="s">
        <v>1120</v>
      </c>
      <c r="B621" t="s">
        <v>339</v>
      </c>
      <c r="C621" t="str">
        <f>_xlfn.TEXTJOIN(",",TRUE, Employee[[#This Row],[Last Name]], Employee[[#This Row],[First Name]])</f>
        <v>Hughes, Kevin</v>
      </c>
      <c r="D621" t="s">
        <v>178</v>
      </c>
      <c r="E621" t="s">
        <v>1041</v>
      </c>
      <c r="F621" s="61">
        <v>41156</v>
      </c>
      <c r="G621">
        <v>5</v>
      </c>
      <c r="H621" t="s">
        <v>185</v>
      </c>
      <c r="I621" s="62">
        <v>103256</v>
      </c>
      <c r="J621">
        <v>5</v>
      </c>
    </row>
    <row r="622" spans="1:10" hidden="1" x14ac:dyDescent="0.25">
      <c r="A622" t="s">
        <v>1121</v>
      </c>
      <c r="B622" t="s">
        <v>1122</v>
      </c>
      <c r="C622" t="str">
        <f>_xlfn.TEXTJOIN(",",TRUE, Employee[[#This Row],[Last Name]], Employee[[#This Row],[First Name]])</f>
        <v>Harrington, Aron</v>
      </c>
      <c r="D622" t="s">
        <v>151</v>
      </c>
      <c r="E622" t="s">
        <v>1041</v>
      </c>
      <c r="F622" s="61">
        <v>42273</v>
      </c>
      <c r="G622">
        <v>2</v>
      </c>
      <c r="H622" t="s">
        <v>185</v>
      </c>
      <c r="I622" s="62">
        <v>57101</v>
      </c>
      <c r="J622">
        <v>5</v>
      </c>
    </row>
    <row r="623" spans="1:10" hidden="1" x14ac:dyDescent="0.25">
      <c r="A623" t="s">
        <v>1123</v>
      </c>
      <c r="B623" t="s">
        <v>648</v>
      </c>
      <c r="C623" t="str">
        <f>_xlfn.TEXTJOIN(",",TRUE, Employee[[#This Row],[Last Name]], Employee[[#This Row],[First Name]])</f>
        <v>Hatfield, Carl</v>
      </c>
      <c r="D623" t="s">
        <v>161</v>
      </c>
      <c r="E623" t="s">
        <v>1041</v>
      </c>
      <c r="F623" s="61">
        <v>41547</v>
      </c>
      <c r="G623">
        <v>4</v>
      </c>
      <c r="H623" t="s">
        <v>142</v>
      </c>
      <c r="I623" s="62">
        <v>62673</v>
      </c>
      <c r="J623">
        <v>1</v>
      </c>
    </row>
    <row r="624" spans="1:10" hidden="1" x14ac:dyDescent="0.25">
      <c r="A624" t="s">
        <v>1124</v>
      </c>
      <c r="B624" t="s">
        <v>341</v>
      </c>
      <c r="C624" t="str">
        <f>_xlfn.TEXTJOIN(",",TRUE, Employee[[#This Row],[Last Name]], Employee[[#This Row],[First Name]])</f>
        <v>Torres, Bruce</v>
      </c>
      <c r="D624" t="s">
        <v>178</v>
      </c>
      <c r="E624" t="s">
        <v>1041</v>
      </c>
      <c r="F624" s="61">
        <v>40080</v>
      </c>
      <c r="G624">
        <v>8</v>
      </c>
      <c r="H624" t="s">
        <v>185</v>
      </c>
      <c r="I624" s="62">
        <v>76284</v>
      </c>
      <c r="J624">
        <v>1</v>
      </c>
    </row>
    <row r="625" spans="1:10" x14ac:dyDescent="0.25">
      <c r="A625" t="s">
        <v>1125</v>
      </c>
      <c r="B625" t="s">
        <v>1126</v>
      </c>
      <c r="C625" t="str">
        <f>_xlfn.TEXTJOIN(",",TRUE, Employee[[#This Row],[Last Name]], Employee[[#This Row],[First Name]])</f>
        <v>McCormick, Hsi</v>
      </c>
      <c r="D625" t="s">
        <v>137</v>
      </c>
      <c r="E625" t="s">
        <v>1041</v>
      </c>
      <c r="F625" s="61">
        <v>37148</v>
      </c>
      <c r="G625">
        <v>16</v>
      </c>
      <c r="H625" t="s">
        <v>145</v>
      </c>
      <c r="I625" s="62">
        <v>59899</v>
      </c>
      <c r="J625">
        <v>4</v>
      </c>
    </row>
    <row r="626" spans="1:10" x14ac:dyDescent="0.25">
      <c r="A626" t="s">
        <v>1127</v>
      </c>
      <c r="B626" t="s">
        <v>427</v>
      </c>
      <c r="C626" t="str">
        <f>_xlfn.TEXTJOIN(",",TRUE, Employee[[#This Row],[Last Name]], Employee[[#This Row],[First Name]])</f>
        <v>Miles, Kenneth</v>
      </c>
      <c r="D626" t="s">
        <v>161</v>
      </c>
      <c r="E626" t="s">
        <v>1041</v>
      </c>
      <c r="F626" s="61">
        <v>37156</v>
      </c>
      <c r="G626">
        <v>16</v>
      </c>
      <c r="H626" t="s">
        <v>168</v>
      </c>
      <c r="I626" s="62">
        <v>83558</v>
      </c>
      <c r="J626">
        <v>2</v>
      </c>
    </row>
    <row r="627" spans="1:10" x14ac:dyDescent="0.25">
      <c r="A627" t="s">
        <v>1128</v>
      </c>
      <c r="B627" t="s">
        <v>425</v>
      </c>
      <c r="C627" t="str">
        <f>_xlfn.TEXTJOIN(",",TRUE, Employee[[#This Row],[Last Name]], Employee[[#This Row],[First Name]])</f>
        <v>Massey, Mark</v>
      </c>
      <c r="D627" t="s">
        <v>137</v>
      </c>
      <c r="E627" t="s">
        <v>1041</v>
      </c>
      <c r="F627" s="61">
        <v>37159</v>
      </c>
      <c r="G627">
        <v>16</v>
      </c>
      <c r="H627" t="s">
        <v>185</v>
      </c>
      <c r="I627" s="62">
        <v>112322</v>
      </c>
      <c r="J627">
        <v>5</v>
      </c>
    </row>
    <row r="628" spans="1:10" hidden="1" x14ac:dyDescent="0.25">
      <c r="A628" t="s">
        <v>1129</v>
      </c>
      <c r="B628" t="s">
        <v>136</v>
      </c>
      <c r="C628" t="str">
        <f>_xlfn.TEXTJOIN(",",TRUE, Employee[[#This Row],[Last Name]], Employee[[#This Row],[First Name]])</f>
        <v>Cooper, Lisa</v>
      </c>
      <c r="D628" t="s">
        <v>155</v>
      </c>
      <c r="E628" t="s">
        <v>1041</v>
      </c>
      <c r="F628" s="61">
        <v>40823</v>
      </c>
      <c r="G628">
        <v>6</v>
      </c>
      <c r="H628" t="s">
        <v>185</v>
      </c>
      <c r="I628" s="62">
        <v>96603</v>
      </c>
      <c r="J628">
        <v>5</v>
      </c>
    </row>
    <row r="629" spans="1:10" hidden="1" x14ac:dyDescent="0.25">
      <c r="A629" t="s">
        <v>1130</v>
      </c>
      <c r="B629" t="s">
        <v>407</v>
      </c>
      <c r="C629" t="str">
        <f>_xlfn.TEXTJOIN(",",TRUE, Employee[[#This Row],[Last Name]], Employee[[#This Row],[First Name]])</f>
        <v>Monroe, Justin</v>
      </c>
      <c r="D629" t="s">
        <v>151</v>
      </c>
      <c r="E629" t="s">
        <v>1041</v>
      </c>
      <c r="F629" s="61">
        <v>41931</v>
      </c>
      <c r="G629">
        <v>3</v>
      </c>
      <c r="H629" t="s">
        <v>185</v>
      </c>
      <c r="I629" s="62">
        <v>92784</v>
      </c>
      <c r="J629">
        <v>3</v>
      </c>
    </row>
    <row r="630" spans="1:10" hidden="1" x14ac:dyDescent="0.25">
      <c r="A630" t="s">
        <v>1131</v>
      </c>
      <c r="B630" t="s">
        <v>1132</v>
      </c>
      <c r="C630" t="str">
        <f>_xlfn.TEXTJOIN(",",TRUE, Employee[[#This Row],[Last Name]], Employee[[#This Row],[First Name]])</f>
        <v>O'Brien, Madelyn</v>
      </c>
      <c r="D630" t="s">
        <v>155</v>
      </c>
      <c r="E630" t="s">
        <v>1041</v>
      </c>
      <c r="F630" s="61">
        <v>42297</v>
      </c>
      <c r="G630">
        <v>1</v>
      </c>
      <c r="H630" t="s">
        <v>145</v>
      </c>
      <c r="I630" s="62">
        <v>73507</v>
      </c>
      <c r="J630">
        <v>2</v>
      </c>
    </row>
    <row r="631" spans="1:10" hidden="1" x14ac:dyDescent="0.25">
      <c r="A631" t="s">
        <v>1133</v>
      </c>
      <c r="B631" t="s">
        <v>1134</v>
      </c>
      <c r="C631" t="str">
        <f>_xlfn.TEXTJOIN(",",TRUE, Employee[[#This Row],[Last Name]], Employee[[#This Row],[First Name]])</f>
        <v>Woods, Marcus</v>
      </c>
      <c r="D631" t="s">
        <v>161</v>
      </c>
      <c r="E631" t="s">
        <v>1041</v>
      </c>
      <c r="F631" s="61">
        <v>40476</v>
      </c>
      <c r="G631">
        <v>6</v>
      </c>
      <c r="H631" t="s">
        <v>152</v>
      </c>
      <c r="I631" s="62">
        <v>109943</v>
      </c>
      <c r="J631">
        <v>2</v>
      </c>
    </row>
    <row r="632" spans="1:10" hidden="1" x14ac:dyDescent="0.25">
      <c r="A632" t="s">
        <v>1135</v>
      </c>
      <c r="B632" t="s">
        <v>1136</v>
      </c>
      <c r="C632" t="str">
        <f>_xlfn.TEXTJOIN(",",TRUE, Employee[[#This Row],[Last Name]], Employee[[#This Row],[First Name]])</f>
        <v>Hoover, Evangeline</v>
      </c>
      <c r="D632" t="s">
        <v>161</v>
      </c>
      <c r="E632" t="s">
        <v>1041</v>
      </c>
      <c r="F632" s="61">
        <v>41564</v>
      </c>
      <c r="G632">
        <v>4</v>
      </c>
      <c r="H632" t="s">
        <v>185</v>
      </c>
      <c r="I632" s="62">
        <v>52306</v>
      </c>
      <c r="J632">
        <v>3</v>
      </c>
    </row>
    <row r="633" spans="1:10" x14ac:dyDescent="0.25">
      <c r="A633" t="s">
        <v>1137</v>
      </c>
      <c r="B633" t="s">
        <v>1138</v>
      </c>
      <c r="C633" t="str">
        <f>_xlfn.TEXTJOIN(",",TRUE, Employee[[#This Row],[Last Name]], Employee[[#This Row],[First Name]])</f>
        <v>Dean, Gayla</v>
      </c>
      <c r="D633" t="s">
        <v>155</v>
      </c>
      <c r="E633" t="s">
        <v>1041</v>
      </c>
      <c r="F633" s="61">
        <v>37557</v>
      </c>
      <c r="G633">
        <v>14</v>
      </c>
      <c r="H633" t="s">
        <v>145</v>
      </c>
      <c r="I633" s="62">
        <v>67772</v>
      </c>
      <c r="J633">
        <v>4</v>
      </c>
    </row>
    <row r="634" spans="1:10" hidden="1" x14ac:dyDescent="0.25">
      <c r="A634" t="s">
        <v>1139</v>
      </c>
      <c r="B634" t="s">
        <v>291</v>
      </c>
      <c r="C634" t="str">
        <f>_xlfn.TEXTJOIN(",",TRUE, Employee[[#This Row],[Last Name]], Employee[[#This Row],[First Name]])</f>
        <v>Holt, Robert</v>
      </c>
      <c r="D634" t="s">
        <v>155</v>
      </c>
      <c r="E634" t="s">
        <v>1041</v>
      </c>
      <c r="F634" s="61">
        <v>40875</v>
      </c>
      <c r="G634">
        <v>5</v>
      </c>
      <c r="H634" t="s">
        <v>139</v>
      </c>
      <c r="I634" s="62">
        <v>111454</v>
      </c>
      <c r="J634">
        <v>5</v>
      </c>
    </row>
    <row r="635" spans="1:10" hidden="1" x14ac:dyDescent="0.25">
      <c r="A635" t="s">
        <v>1140</v>
      </c>
      <c r="B635" t="s">
        <v>214</v>
      </c>
      <c r="C635" t="str">
        <f>_xlfn.TEXTJOIN(",",TRUE, Employee[[#This Row],[Last Name]], Employee[[#This Row],[First Name]])</f>
        <v>Hodge, Craig</v>
      </c>
      <c r="D635" t="s">
        <v>151</v>
      </c>
      <c r="E635" t="s">
        <v>1041</v>
      </c>
      <c r="F635" s="61">
        <v>40495</v>
      </c>
      <c r="G635">
        <v>6</v>
      </c>
      <c r="H635" t="s">
        <v>145</v>
      </c>
      <c r="I635" s="62">
        <v>102322</v>
      </c>
      <c r="J635">
        <v>4</v>
      </c>
    </row>
    <row r="636" spans="1:10" hidden="1" x14ac:dyDescent="0.25">
      <c r="A636" t="s">
        <v>1141</v>
      </c>
      <c r="B636" t="s">
        <v>740</v>
      </c>
      <c r="C636" t="str">
        <f>_xlfn.TEXTJOIN(",",TRUE, Employee[[#This Row],[Last Name]], Employee[[#This Row],[First Name]])</f>
        <v>Avila, Jody</v>
      </c>
      <c r="D636" t="s">
        <v>161</v>
      </c>
      <c r="E636" t="s">
        <v>1041</v>
      </c>
      <c r="F636" s="61">
        <v>41593</v>
      </c>
      <c r="G636">
        <v>3</v>
      </c>
      <c r="H636" t="s">
        <v>145</v>
      </c>
      <c r="I636" s="62">
        <v>55997</v>
      </c>
      <c r="J636">
        <v>4</v>
      </c>
    </row>
    <row r="637" spans="1:10" hidden="1" x14ac:dyDescent="0.25">
      <c r="A637" t="s">
        <v>1142</v>
      </c>
      <c r="B637" t="s">
        <v>1143</v>
      </c>
      <c r="C637" t="str">
        <f>_xlfn.TEXTJOIN(",",TRUE, Employee[[#This Row],[Last Name]], Employee[[#This Row],[First Name]])</f>
        <v>Velez, Letitia</v>
      </c>
      <c r="D637" t="s">
        <v>155</v>
      </c>
      <c r="E637" t="s">
        <v>1041</v>
      </c>
      <c r="F637" s="61">
        <v>41599</v>
      </c>
      <c r="G637">
        <v>3</v>
      </c>
      <c r="H637" t="s">
        <v>185</v>
      </c>
      <c r="I637" s="62">
        <v>97922</v>
      </c>
      <c r="J637">
        <v>3</v>
      </c>
    </row>
    <row r="638" spans="1:10" x14ac:dyDescent="0.25">
      <c r="A638" t="s">
        <v>1144</v>
      </c>
      <c r="B638" t="s">
        <v>1077</v>
      </c>
      <c r="C638" t="str">
        <f>_xlfn.TEXTJOIN(",",TRUE, Employee[[#This Row],[Last Name]], Employee[[#This Row],[First Name]])</f>
        <v>Baldwin, Ray</v>
      </c>
      <c r="D638" t="s">
        <v>151</v>
      </c>
      <c r="E638" t="s">
        <v>1041</v>
      </c>
      <c r="F638" s="61">
        <v>37592</v>
      </c>
      <c r="G638">
        <v>14</v>
      </c>
      <c r="H638" t="s">
        <v>185</v>
      </c>
      <c r="I638" s="62">
        <v>51208</v>
      </c>
      <c r="J638">
        <v>3</v>
      </c>
    </row>
    <row r="639" spans="1:10" hidden="1" x14ac:dyDescent="0.25">
      <c r="A639" t="s">
        <v>1145</v>
      </c>
      <c r="B639" t="s">
        <v>611</v>
      </c>
      <c r="C639" t="str">
        <f>_xlfn.TEXTJOIN(",",TRUE, Employee[[#This Row],[Last Name]], Employee[[#This Row],[First Name]])</f>
        <v>George, Jessica</v>
      </c>
      <c r="D639" t="s">
        <v>155</v>
      </c>
      <c r="E639" t="s">
        <v>1146</v>
      </c>
      <c r="F639" s="61">
        <v>40165</v>
      </c>
      <c r="G639">
        <v>7</v>
      </c>
      <c r="H639" t="s">
        <v>145</v>
      </c>
      <c r="I639" s="62">
        <v>111834</v>
      </c>
      <c r="J639">
        <v>2</v>
      </c>
    </row>
    <row r="640" spans="1:10" hidden="1" x14ac:dyDescent="0.25">
      <c r="A640" t="s">
        <v>1147</v>
      </c>
      <c r="B640" t="s">
        <v>175</v>
      </c>
      <c r="C640" t="str">
        <f>_xlfn.TEXTJOIN(",",TRUE, Employee[[#This Row],[Last Name]], Employee[[#This Row],[First Name]])</f>
        <v>Rodgers, Daniel</v>
      </c>
      <c r="D640" t="s">
        <v>161</v>
      </c>
      <c r="E640" t="s">
        <v>1146</v>
      </c>
      <c r="F640" s="61">
        <v>40168</v>
      </c>
      <c r="G640">
        <v>7</v>
      </c>
      <c r="H640" t="s">
        <v>145</v>
      </c>
      <c r="I640" s="62">
        <v>97801</v>
      </c>
      <c r="J640">
        <v>5</v>
      </c>
    </row>
    <row r="641" spans="1:10" hidden="1" x14ac:dyDescent="0.25">
      <c r="A641" t="s">
        <v>1148</v>
      </c>
      <c r="B641" t="s">
        <v>269</v>
      </c>
      <c r="C641" t="str">
        <f>_xlfn.TEXTJOIN(",",TRUE, Employee[[#This Row],[Last Name]], Employee[[#This Row],[First Name]])</f>
        <v>Giles, Kathleen</v>
      </c>
      <c r="D641" t="s">
        <v>178</v>
      </c>
      <c r="E641" t="s">
        <v>1146</v>
      </c>
      <c r="F641" s="61">
        <v>40169</v>
      </c>
      <c r="G641">
        <v>7</v>
      </c>
      <c r="H641" t="s">
        <v>185</v>
      </c>
      <c r="I641" s="62">
        <v>57318</v>
      </c>
      <c r="J641">
        <v>2</v>
      </c>
    </row>
    <row r="642" spans="1:10" hidden="1" x14ac:dyDescent="0.25">
      <c r="A642" t="s">
        <v>1149</v>
      </c>
      <c r="B642" t="s">
        <v>1150</v>
      </c>
      <c r="C642" t="str">
        <f>_xlfn.TEXTJOIN(",",TRUE, Employee[[#This Row],[Last Name]], Employee[[#This Row],[First Name]])</f>
        <v>Kelley, Nancy</v>
      </c>
      <c r="D642" t="s">
        <v>161</v>
      </c>
      <c r="E642" t="s">
        <v>1146</v>
      </c>
      <c r="F642" s="61">
        <v>40184</v>
      </c>
      <c r="G642">
        <v>7</v>
      </c>
      <c r="H642" t="s">
        <v>145</v>
      </c>
      <c r="I642" s="62">
        <v>75536</v>
      </c>
      <c r="J642">
        <v>3</v>
      </c>
    </row>
    <row r="643" spans="1:10" x14ac:dyDescent="0.25">
      <c r="A643" t="s">
        <v>1151</v>
      </c>
      <c r="B643" t="s">
        <v>405</v>
      </c>
      <c r="C643" t="str">
        <f>_xlfn.TEXTJOIN(",",TRUE, Employee[[#This Row],[Last Name]], Employee[[#This Row],[First Name]])</f>
        <v>Armstrong, David</v>
      </c>
      <c r="D643" t="s">
        <v>155</v>
      </c>
      <c r="E643" t="s">
        <v>1146</v>
      </c>
      <c r="F643" s="61">
        <v>36904</v>
      </c>
      <c r="G643">
        <v>16</v>
      </c>
      <c r="H643" t="s">
        <v>145</v>
      </c>
      <c r="I643" s="62">
        <v>95461</v>
      </c>
      <c r="J643">
        <v>3</v>
      </c>
    </row>
    <row r="644" spans="1:10" x14ac:dyDescent="0.25">
      <c r="A644" t="s">
        <v>1152</v>
      </c>
      <c r="B644" t="s">
        <v>218</v>
      </c>
      <c r="C644" t="str">
        <f>_xlfn.TEXTJOIN(",",TRUE, Employee[[#This Row],[Last Name]], Employee[[#This Row],[First Name]])</f>
        <v>Barrett, John</v>
      </c>
      <c r="D644" t="s">
        <v>155</v>
      </c>
      <c r="E644" t="s">
        <v>1146</v>
      </c>
      <c r="F644" s="61">
        <v>37627</v>
      </c>
      <c r="G644">
        <v>14</v>
      </c>
      <c r="H644" t="s">
        <v>185</v>
      </c>
      <c r="I644" s="62">
        <v>45843</v>
      </c>
      <c r="J644">
        <v>1</v>
      </c>
    </row>
    <row r="645" spans="1:10" x14ac:dyDescent="0.25">
      <c r="A645" t="s">
        <v>1153</v>
      </c>
      <c r="B645" t="s">
        <v>1154</v>
      </c>
      <c r="C645" t="str">
        <f>_xlfn.TEXTJOIN(",",TRUE, Employee[[#This Row],[Last Name]], Employee[[#This Row],[First Name]])</f>
        <v>Quinn, Cinnamon</v>
      </c>
      <c r="D645" t="s">
        <v>155</v>
      </c>
      <c r="E645" t="s">
        <v>1146</v>
      </c>
      <c r="F645" s="61">
        <v>37996</v>
      </c>
      <c r="G645">
        <v>13</v>
      </c>
      <c r="H645" t="s">
        <v>139</v>
      </c>
      <c r="I645" s="62">
        <v>73248</v>
      </c>
      <c r="J645">
        <v>5</v>
      </c>
    </row>
    <row r="646" spans="1:10" hidden="1" x14ac:dyDescent="0.25">
      <c r="A646" t="s">
        <v>1155</v>
      </c>
      <c r="B646" t="s">
        <v>860</v>
      </c>
      <c r="C646" t="str">
        <f>_xlfn.TEXTJOIN(",",TRUE, Employee[[#This Row],[Last Name]], Employee[[#This Row],[First Name]])</f>
        <v>Keller, Jason</v>
      </c>
      <c r="D646" t="s">
        <v>155</v>
      </c>
      <c r="E646" t="s">
        <v>1146</v>
      </c>
      <c r="F646" s="61">
        <v>41641</v>
      </c>
      <c r="G646">
        <v>3</v>
      </c>
      <c r="H646" t="s">
        <v>145</v>
      </c>
      <c r="I646" s="62">
        <v>76163</v>
      </c>
      <c r="J646">
        <v>3</v>
      </c>
    </row>
    <row r="647" spans="1:10" hidden="1" x14ac:dyDescent="0.25">
      <c r="A647" t="s">
        <v>1156</v>
      </c>
      <c r="B647" t="s">
        <v>1157</v>
      </c>
      <c r="C647" t="str">
        <f>_xlfn.TEXTJOIN(",",TRUE, Employee[[#This Row],[Last Name]], Employee[[#This Row],[First Name]])</f>
        <v>Sparks, Terri</v>
      </c>
      <c r="D647" t="s">
        <v>155</v>
      </c>
      <c r="E647" t="s">
        <v>1146</v>
      </c>
      <c r="F647" s="61">
        <v>41646</v>
      </c>
      <c r="G647">
        <v>3</v>
      </c>
      <c r="H647" t="s">
        <v>139</v>
      </c>
      <c r="I647" s="62">
        <v>62335</v>
      </c>
      <c r="J647">
        <v>5</v>
      </c>
    </row>
    <row r="648" spans="1:10" hidden="1" x14ac:dyDescent="0.25">
      <c r="A648" t="s">
        <v>1158</v>
      </c>
      <c r="B648" t="s">
        <v>242</v>
      </c>
      <c r="C648" t="str">
        <f>_xlfn.TEXTJOIN(",",TRUE, Employee[[#This Row],[Last Name]], Employee[[#This Row],[First Name]])</f>
        <v>Lang, Dana</v>
      </c>
      <c r="D648" t="s">
        <v>161</v>
      </c>
      <c r="E648" t="s">
        <v>1146</v>
      </c>
      <c r="F648" s="61">
        <v>41662</v>
      </c>
      <c r="G648">
        <v>3</v>
      </c>
      <c r="H648" t="s">
        <v>139</v>
      </c>
      <c r="I648" s="62">
        <v>77015</v>
      </c>
      <c r="J648">
        <v>5</v>
      </c>
    </row>
    <row r="649" spans="1:10" hidden="1" x14ac:dyDescent="0.25">
      <c r="A649" t="s">
        <v>1159</v>
      </c>
      <c r="B649" t="s">
        <v>405</v>
      </c>
      <c r="C649" t="str">
        <f>_xlfn.TEXTJOIN(",",TRUE, Employee[[#This Row],[Last Name]], Employee[[#This Row],[First Name]])</f>
        <v>Singleton, David</v>
      </c>
      <c r="D649" t="s">
        <v>155</v>
      </c>
      <c r="E649" t="s">
        <v>1146</v>
      </c>
      <c r="F649" s="61">
        <v>40196</v>
      </c>
      <c r="G649">
        <v>7</v>
      </c>
      <c r="H649" t="s">
        <v>139</v>
      </c>
      <c r="I649" s="62">
        <v>120355</v>
      </c>
      <c r="J649">
        <v>1</v>
      </c>
    </row>
    <row r="650" spans="1:10" hidden="1" x14ac:dyDescent="0.25">
      <c r="A650" t="s">
        <v>1160</v>
      </c>
      <c r="B650" t="s">
        <v>525</v>
      </c>
      <c r="C650" t="str">
        <f>_xlfn.TEXTJOIN(",",TRUE, Employee[[#This Row],[Last Name]], Employee[[#This Row],[First Name]])</f>
        <v>Hensley, William</v>
      </c>
      <c r="D650" t="s">
        <v>155</v>
      </c>
      <c r="E650" t="s">
        <v>1146</v>
      </c>
      <c r="F650" s="61">
        <v>39831</v>
      </c>
      <c r="G650">
        <v>8</v>
      </c>
      <c r="H650" t="s">
        <v>142</v>
      </c>
      <c r="I650" s="62">
        <v>102208</v>
      </c>
      <c r="J650">
        <v>4</v>
      </c>
    </row>
    <row r="651" spans="1:10" x14ac:dyDescent="0.25">
      <c r="A651" t="s">
        <v>1161</v>
      </c>
      <c r="B651" t="s">
        <v>1162</v>
      </c>
      <c r="C651" t="str">
        <f>_xlfn.TEXTJOIN(",",TRUE, Employee[[#This Row],[Last Name]], Employee[[#This Row],[First Name]])</f>
        <v>Blackwell, Brandon</v>
      </c>
      <c r="D651" t="s">
        <v>137</v>
      </c>
      <c r="E651" t="s">
        <v>1146</v>
      </c>
      <c r="F651" s="61">
        <v>37271</v>
      </c>
      <c r="G651">
        <v>15</v>
      </c>
      <c r="H651" t="s">
        <v>145</v>
      </c>
      <c r="I651" s="62">
        <v>66474</v>
      </c>
      <c r="J651">
        <v>2</v>
      </c>
    </row>
    <row r="652" spans="1:10" hidden="1" x14ac:dyDescent="0.25">
      <c r="A652" t="s">
        <v>1163</v>
      </c>
      <c r="B652" t="s">
        <v>1164</v>
      </c>
      <c r="C652" t="str">
        <f>_xlfn.TEXTJOIN(",",TRUE, Employee[[#This Row],[Last Name]], Employee[[#This Row],[First Name]])</f>
        <v>Erickson, Ricky</v>
      </c>
      <c r="D652" t="s">
        <v>155</v>
      </c>
      <c r="E652" t="s">
        <v>1146</v>
      </c>
      <c r="F652" s="61">
        <v>41313</v>
      </c>
      <c r="G652">
        <v>4</v>
      </c>
      <c r="H652" t="s">
        <v>145</v>
      </c>
      <c r="I652" s="62">
        <v>59082</v>
      </c>
      <c r="J652">
        <v>3</v>
      </c>
    </row>
    <row r="653" spans="1:10" hidden="1" x14ac:dyDescent="0.25">
      <c r="A653" t="s">
        <v>1165</v>
      </c>
      <c r="B653" t="s">
        <v>258</v>
      </c>
      <c r="C653" t="str">
        <f>_xlfn.TEXTJOIN(",",TRUE, Employee[[#This Row],[Last Name]], Employee[[#This Row],[First Name]])</f>
        <v>Leonard, Paul</v>
      </c>
      <c r="D653" t="s">
        <v>155</v>
      </c>
      <c r="E653" t="s">
        <v>1146</v>
      </c>
      <c r="F653" s="61">
        <v>42064</v>
      </c>
      <c r="G653">
        <v>2</v>
      </c>
      <c r="H653" t="s">
        <v>142</v>
      </c>
      <c r="I653" s="62">
        <v>63884</v>
      </c>
      <c r="J653">
        <v>4</v>
      </c>
    </row>
    <row r="654" spans="1:10" hidden="1" x14ac:dyDescent="0.25">
      <c r="A654" t="s">
        <v>1166</v>
      </c>
      <c r="B654" t="s">
        <v>1167</v>
      </c>
      <c r="C654" t="str">
        <f>_xlfn.TEXTJOIN(",",TRUE, Employee[[#This Row],[Last Name]], Employee[[#This Row],[First Name]])</f>
        <v>McIntosh, Jeremy</v>
      </c>
      <c r="D654" t="s">
        <v>161</v>
      </c>
      <c r="E654" t="s">
        <v>1146</v>
      </c>
      <c r="F654" s="61">
        <v>40233</v>
      </c>
      <c r="G654">
        <v>7</v>
      </c>
      <c r="H654" t="s">
        <v>152</v>
      </c>
      <c r="I654" s="62">
        <v>89510</v>
      </c>
      <c r="J654">
        <v>3</v>
      </c>
    </row>
    <row r="655" spans="1:10" hidden="1" x14ac:dyDescent="0.25">
      <c r="A655" t="s">
        <v>1168</v>
      </c>
      <c r="B655" t="s">
        <v>293</v>
      </c>
      <c r="C655" t="str">
        <f>_xlfn.TEXTJOIN(",",TRUE, Employee[[#This Row],[Last Name]], Employee[[#This Row],[First Name]])</f>
        <v>Ramirez, Keith</v>
      </c>
      <c r="D655" t="s">
        <v>155</v>
      </c>
      <c r="E655" t="s">
        <v>1146</v>
      </c>
      <c r="F655" s="61">
        <v>41328</v>
      </c>
      <c r="G655">
        <v>4</v>
      </c>
      <c r="H655" t="s">
        <v>185</v>
      </c>
      <c r="I655" s="62">
        <v>47567</v>
      </c>
      <c r="J655">
        <v>5</v>
      </c>
    </row>
    <row r="656" spans="1:10" hidden="1" x14ac:dyDescent="0.25">
      <c r="A656" t="s">
        <v>1169</v>
      </c>
      <c r="B656" t="s">
        <v>1170</v>
      </c>
      <c r="C656" t="str">
        <f>_xlfn.TEXTJOIN(",",TRUE, Employee[[#This Row],[Last Name]], Employee[[#This Row],[First Name]])</f>
        <v>Kramer, Faye</v>
      </c>
      <c r="D656" t="s">
        <v>137</v>
      </c>
      <c r="E656" t="s">
        <v>1146</v>
      </c>
      <c r="F656" s="61">
        <v>39883</v>
      </c>
      <c r="G656">
        <v>8</v>
      </c>
      <c r="H656" t="s">
        <v>142</v>
      </c>
      <c r="I656" s="62">
        <v>115607</v>
      </c>
      <c r="J656">
        <v>5</v>
      </c>
    </row>
    <row r="657" spans="1:10" x14ac:dyDescent="0.25">
      <c r="A657" t="s">
        <v>1171</v>
      </c>
      <c r="B657" t="s">
        <v>368</v>
      </c>
      <c r="C657" t="str">
        <f>_xlfn.TEXTJOIN(",",TRUE, Employee[[#This Row],[Last Name]], Employee[[#This Row],[First Name]])</f>
        <v>Palmer, Terry</v>
      </c>
      <c r="D657" t="s">
        <v>178</v>
      </c>
      <c r="E657" t="s">
        <v>1146</v>
      </c>
      <c r="F657" s="61">
        <v>37321</v>
      </c>
      <c r="G657">
        <v>15</v>
      </c>
      <c r="H657" t="s">
        <v>168</v>
      </c>
      <c r="I657" s="62">
        <v>47052</v>
      </c>
      <c r="J657">
        <v>3</v>
      </c>
    </row>
    <row r="658" spans="1:10" x14ac:dyDescent="0.25">
      <c r="A658" t="s">
        <v>1172</v>
      </c>
      <c r="B658" t="s">
        <v>1173</v>
      </c>
      <c r="C658" t="str">
        <f>_xlfn.TEXTJOIN(",",TRUE, Employee[[#This Row],[Last Name]], Employee[[#This Row],[First Name]])</f>
        <v>Daniels, Janet</v>
      </c>
      <c r="D658" t="s">
        <v>155</v>
      </c>
      <c r="E658" t="s">
        <v>1146</v>
      </c>
      <c r="F658" s="61">
        <v>38034</v>
      </c>
      <c r="G658">
        <v>13</v>
      </c>
      <c r="H658" t="s">
        <v>168</v>
      </c>
      <c r="I658" s="62">
        <v>69179</v>
      </c>
      <c r="J658">
        <v>1</v>
      </c>
    </row>
    <row r="659" spans="1:10" x14ac:dyDescent="0.25">
      <c r="A659" t="s">
        <v>1174</v>
      </c>
      <c r="B659" t="s">
        <v>384</v>
      </c>
      <c r="C659" t="str">
        <f>_xlfn.TEXTJOIN(",",TRUE, Employee[[#This Row],[Last Name]], Employee[[#This Row],[First Name]])</f>
        <v>Graves, Michael</v>
      </c>
      <c r="D659" t="s">
        <v>155</v>
      </c>
      <c r="E659" t="s">
        <v>1146</v>
      </c>
      <c r="F659" s="61">
        <v>38045</v>
      </c>
      <c r="G659">
        <v>13</v>
      </c>
      <c r="H659" t="s">
        <v>139</v>
      </c>
      <c r="I659" s="62">
        <v>88143</v>
      </c>
      <c r="J659">
        <v>4</v>
      </c>
    </row>
    <row r="660" spans="1:10" hidden="1" x14ac:dyDescent="0.25">
      <c r="A660" t="s">
        <v>1175</v>
      </c>
      <c r="B660" t="s">
        <v>1176</v>
      </c>
      <c r="C660" t="str">
        <f>_xlfn.TEXTJOIN(",",TRUE, Employee[[#This Row],[Last Name]], Employee[[#This Row],[First Name]])</f>
        <v>Hicks, Monica</v>
      </c>
      <c r="D660" t="s">
        <v>178</v>
      </c>
      <c r="E660" t="s">
        <v>1146</v>
      </c>
      <c r="F660" s="61">
        <v>40612</v>
      </c>
      <c r="G660">
        <v>6</v>
      </c>
      <c r="H660" t="s">
        <v>145</v>
      </c>
      <c r="I660" s="62">
        <v>53353</v>
      </c>
      <c r="J660">
        <v>3</v>
      </c>
    </row>
    <row r="661" spans="1:10" hidden="1" x14ac:dyDescent="0.25">
      <c r="A661" t="s">
        <v>1177</v>
      </c>
      <c r="B661" t="s">
        <v>1178</v>
      </c>
      <c r="C661" t="str">
        <f>_xlfn.TEXTJOIN(",",TRUE, Employee[[#This Row],[Last Name]], Employee[[#This Row],[First Name]])</f>
        <v>Newman, Aria</v>
      </c>
      <c r="D661" t="s">
        <v>178</v>
      </c>
      <c r="E661" t="s">
        <v>1146</v>
      </c>
      <c r="F661" s="61">
        <v>40249</v>
      </c>
      <c r="G661">
        <v>7</v>
      </c>
      <c r="H661" t="s">
        <v>152</v>
      </c>
      <c r="I661" s="62">
        <v>106727</v>
      </c>
      <c r="J661">
        <v>2</v>
      </c>
    </row>
    <row r="662" spans="1:10" hidden="1" x14ac:dyDescent="0.25">
      <c r="A662" t="s">
        <v>1179</v>
      </c>
      <c r="B662" t="s">
        <v>1180</v>
      </c>
      <c r="C662" t="str">
        <f>_xlfn.TEXTJOIN(",",TRUE, Employee[[#This Row],[Last Name]], Employee[[#This Row],[First Name]])</f>
        <v>Zimmerman, Julian</v>
      </c>
      <c r="D662" t="s">
        <v>178</v>
      </c>
      <c r="E662" t="s">
        <v>1146</v>
      </c>
      <c r="F662" s="61">
        <v>40613</v>
      </c>
      <c r="G662">
        <v>6</v>
      </c>
      <c r="H662" t="s">
        <v>168</v>
      </c>
      <c r="I662" s="62">
        <v>112486</v>
      </c>
      <c r="J662">
        <v>5</v>
      </c>
    </row>
    <row r="663" spans="1:10" hidden="1" x14ac:dyDescent="0.25">
      <c r="A663" t="s">
        <v>1181</v>
      </c>
      <c r="B663" t="s">
        <v>1182</v>
      </c>
      <c r="C663" t="str">
        <f>_xlfn.TEXTJOIN(",",TRUE, Employee[[#This Row],[Last Name]], Employee[[#This Row],[First Name]])</f>
        <v>Roy, Margarita</v>
      </c>
      <c r="D663" t="s">
        <v>161</v>
      </c>
      <c r="E663" t="s">
        <v>1146</v>
      </c>
      <c r="F663" s="61">
        <v>40617</v>
      </c>
      <c r="G663">
        <v>6</v>
      </c>
      <c r="H663" t="s">
        <v>185</v>
      </c>
      <c r="I663" s="62">
        <v>43940</v>
      </c>
      <c r="J663">
        <v>2</v>
      </c>
    </row>
    <row r="664" spans="1:10" x14ac:dyDescent="0.25">
      <c r="A664" t="s">
        <v>1183</v>
      </c>
      <c r="B664" t="s">
        <v>384</v>
      </c>
      <c r="C664" t="str">
        <f>_xlfn.TEXTJOIN(",",TRUE, Employee[[#This Row],[Last Name]], Employee[[#This Row],[First Name]])</f>
        <v>Welch, Michael</v>
      </c>
      <c r="D664" t="s">
        <v>155</v>
      </c>
      <c r="E664" t="s">
        <v>1146</v>
      </c>
      <c r="F664" s="61">
        <v>37697</v>
      </c>
      <c r="G664">
        <v>14</v>
      </c>
      <c r="H664" t="s">
        <v>142</v>
      </c>
      <c r="I664" s="62">
        <v>92962</v>
      </c>
      <c r="J664">
        <v>4</v>
      </c>
    </row>
    <row r="665" spans="1:10" x14ac:dyDescent="0.25">
      <c r="A665" t="s">
        <v>1184</v>
      </c>
      <c r="B665" t="s">
        <v>726</v>
      </c>
      <c r="C665" t="str">
        <f>_xlfn.TEXTJOIN(",",TRUE, Employee[[#This Row],[Last Name]], Employee[[#This Row],[First Name]])</f>
        <v>Pennington, Gary</v>
      </c>
      <c r="D665" t="s">
        <v>148</v>
      </c>
      <c r="E665" t="s">
        <v>1146</v>
      </c>
      <c r="F665" s="61">
        <v>38087</v>
      </c>
      <c r="G665">
        <v>13</v>
      </c>
      <c r="H665" t="s">
        <v>185</v>
      </c>
      <c r="I665" s="62">
        <v>45981</v>
      </c>
      <c r="J665">
        <v>2</v>
      </c>
    </row>
    <row r="666" spans="1:10" hidden="1" x14ac:dyDescent="0.25">
      <c r="A666" t="s">
        <v>1185</v>
      </c>
      <c r="B666" t="s">
        <v>504</v>
      </c>
      <c r="C666" t="str">
        <f>_xlfn.TEXTJOIN(",",TRUE, Employee[[#This Row],[Last Name]], Employee[[#This Row],[First Name]])</f>
        <v>Hunt, Norman</v>
      </c>
      <c r="D666" t="s">
        <v>161</v>
      </c>
      <c r="E666" t="s">
        <v>1146</v>
      </c>
      <c r="F666" s="61">
        <v>41715</v>
      </c>
      <c r="G666">
        <v>3</v>
      </c>
      <c r="H666" t="s">
        <v>139</v>
      </c>
      <c r="I666" s="62">
        <v>52842</v>
      </c>
      <c r="J666">
        <v>3</v>
      </c>
    </row>
    <row r="667" spans="1:10" hidden="1" x14ac:dyDescent="0.25">
      <c r="A667" t="s">
        <v>1186</v>
      </c>
      <c r="B667" t="s">
        <v>254</v>
      </c>
      <c r="C667" t="str">
        <f>_xlfn.TEXTJOIN(",",TRUE, Employee[[#This Row],[Last Name]], Employee[[#This Row],[First Name]])</f>
        <v>Casey, Ronald</v>
      </c>
      <c r="D667" t="s">
        <v>148</v>
      </c>
      <c r="E667" t="s">
        <v>1146</v>
      </c>
      <c r="F667" s="61">
        <v>41716</v>
      </c>
      <c r="G667">
        <v>3</v>
      </c>
      <c r="H667" t="s">
        <v>145</v>
      </c>
      <c r="I667" s="62">
        <v>125788</v>
      </c>
      <c r="J667">
        <v>4</v>
      </c>
    </row>
    <row r="668" spans="1:10" hidden="1" x14ac:dyDescent="0.25">
      <c r="A668" t="s">
        <v>1187</v>
      </c>
      <c r="B668" t="s">
        <v>924</v>
      </c>
      <c r="C668" t="str">
        <f>_xlfn.TEXTJOIN(",",TRUE, Employee[[#This Row],[Last Name]], Employee[[#This Row],[First Name]])</f>
        <v>Grimes, Jeffrey</v>
      </c>
      <c r="D668" t="s">
        <v>155</v>
      </c>
      <c r="E668" t="s">
        <v>1146</v>
      </c>
      <c r="F668" s="61">
        <v>40286</v>
      </c>
      <c r="G668">
        <v>7</v>
      </c>
      <c r="H668" t="s">
        <v>145</v>
      </c>
      <c r="I668" s="62">
        <v>125339</v>
      </c>
      <c r="J668">
        <v>4</v>
      </c>
    </row>
    <row r="669" spans="1:10" hidden="1" x14ac:dyDescent="0.25">
      <c r="A669" t="s">
        <v>1188</v>
      </c>
      <c r="B669" t="s">
        <v>662</v>
      </c>
      <c r="C669" t="str">
        <f>_xlfn.TEXTJOIN(",",TRUE, Employee[[#This Row],[Last Name]], Employee[[#This Row],[First Name]])</f>
        <v>Sandoval, James</v>
      </c>
      <c r="D669" t="s">
        <v>155</v>
      </c>
      <c r="E669" t="s">
        <v>1146</v>
      </c>
      <c r="F669" s="61">
        <v>39941</v>
      </c>
      <c r="G669">
        <v>8</v>
      </c>
      <c r="H669" t="s">
        <v>145</v>
      </c>
      <c r="I669" s="62">
        <v>46564</v>
      </c>
      <c r="J669">
        <v>3</v>
      </c>
    </row>
    <row r="670" spans="1:10" x14ac:dyDescent="0.25">
      <c r="A670" t="s">
        <v>1189</v>
      </c>
      <c r="B670" t="s">
        <v>165</v>
      </c>
      <c r="C670" t="str">
        <f>_xlfn.TEXTJOIN(",",TRUE, Employee[[#This Row],[Last Name]], Employee[[#This Row],[First Name]])</f>
        <v>Beasley, Timothy</v>
      </c>
      <c r="D670" t="s">
        <v>155</v>
      </c>
      <c r="E670" t="s">
        <v>1146</v>
      </c>
      <c r="F670" s="61">
        <v>37750</v>
      </c>
      <c r="G670">
        <v>14</v>
      </c>
      <c r="H670" t="s">
        <v>142</v>
      </c>
      <c r="I670" s="62">
        <v>59750</v>
      </c>
      <c r="J670">
        <v>5</v>
      </c>
    </row>
    <row r="671" spans="1:10" hidden="1" x14ac:dyDescent="0.25">
      <c r="A671" t="s">
        <v>1190</v>
      </c>
      <c r="B671" t="s">
        <v>1191</v>
      </c>
      <c r="C671" t="str">
        <f>_xlfn.TEXTJOIN(",",TRUE, Employee[[#This Row],[Last Name]], Employee[[#This Row],[First Name]])</f>
        <v>Morrison, Julie</v>
      </c>
      <c r="D671" t="s">
        <v>161</v>
      </c>
      <c r="E671" t="s">
        <v>1146</v>
      </c>
      <c r="F671" s="61">
        <v>41758</v>
      </c>
      <c r="G671">
        <v>3</v>
      </c>
      <c r="H671" t="s">
        <v>139</v>
      </c>
      <c r="I671" s="62">
        <v>48436</v>
      </c>
      <c r="J671">
        <v>4</v>
      </c>
    </row>
    <row r="672" spans="1:10" hidden="1" x14ac:dyDescent="0.25">
      <c r="A672" t="s">
        <v>1192</v>
      </c>
      <c r="B672" t="s">
        <v>858</v>
      </c>
      <c r="C672" t="str">
        <f>_xlfn.TEXTJOIN(",",TRUE, Employee[[#This Row],[Last Name]], Employee[[#This Row],[First Name]])</f>
        <v>Schwartz, Joseph</v>
      </c>
      <c r="D672" t="s">
        <v>161</v>
      </c>
      <c r="E672" t="s">
        <v>1146</v>
      </c>
      <c r="F672" s="61">
        <v>41758</v>
      </c>
      <c r="G672">
        <v>3</v>
      </c>
      <c r="H672" t="s">
        <v>168</v>
      </c>
      <c r="I672" s="62">
        <v>90823</v>
      </c>
      <c r="J672">
        <v>5</v>
      </c>
    </row>
    <row r="673" spans="1:10" hidden="1" x14ac:dyDescent="0.25">
      <c r="A673" t="s">
        <v>1193</v>
      </c>
      <c r="B673" t="s">
        <v>608</v>
      </c>
      <c r="C673" t="str">
        <f>_xlfn.TEXTJOIN(",",TRUE, Employee[[#This Row],[Last Name]], Employee[[#This Row],[First Name]])</f>
        <v>Hansen, Andrew</v>
      </c>
      <c r="D673" t="s">
        <v>155</v>
      </c>
      <c r="E673" t="s">
        <v>1146</v>
      </c>
      <c r="F673" s="61">
        <v>41774</v>
      </c>
      <c r="G673">
        <v>3</v>
      </c>
      <c r="H673" t="s">
        <v>185</v>
      </c>
      <c r="I673" s="62">
        <v>111002</v>
      </c>
      <c r="J673">
        <v>2</v>
      </c>
    </row>
    <row r="674" spans="1:10" hidden="1" x14ac:dyDescent="0.25">
      <c r="A674" t="s">
        <v>1194</v>
      </c>
      <c r="B674" t="s">
        <v>353</v>
      </c>
      <c r="C674" t="str">
        <f>_xlfn.TEXTJOIN(",",TRUE, Employee[[#This Row],[Last Name]], Employee[[#This Row],[First Name]])</f>
        <v>Morales, Linda</v>
      </c>
      <c r="D674" t="s">
        <v>137</v>
      </c>
      <c r="E674" t="s">
        <v>1146</v>
      </c>
      <c r="F674" s="61">
        <v>41784</v>
      </c>
      <c r="G674">
        <v>3</v>
      </c>
      <c r="H674" t="s">
        <v>145</v>
      </c>
      <c r="I674" s="62">
        <v>86169</v>
      </c>
      <c r="J674">
        <v>5</v>
      </c>
    </row>
    <row r="675" spans="1:10" hidden="1" x14ac:dyDescent="0.25">
      <c r="A675" t="s">
        <v>1195</v>
      </c>
      <c r="B675" t="s">
        <v>924</v>
      </c>
      <c r="C675" t="str">
        <f>_xlfn.TEXTJOIN(",",TRUE, Employee[[#This Row],[Last Name]], Employee[[#This Row],[First Name]])</f>
        <v>Ortega, Jeffrey</v>
      </c>
      <c r="D675" t="s">
        <v>178</v>
      </c>
      <c r="E675" t="s">
        <v>1146</v>
      </c>
      <c r="F675" s="61">
        <v>41796</v>
      </c>
      <c r="G675">
        <v>3</v>
      </c>
      <c r="H675" t="s">
        <v>145</v>
      </c>
      <c r="I675" s="62">
        <v>55058</v>
      </c>
      <c r="J675">
        <v>5</v>
      </c>
    </row>
    <row r="676" spans="1:10" hidden="1" x14ac:dyDescent="0.25">
      <c r="A676" t="s">
        <v>1196</v>
      </c>
      <c r="B676" t="s">
        <v>946</v>
      </c>
      <c r="C676" t="str">
        <f>_xlfn.TEXTJOIN(",",TRUE, Employee[[#This Row],[Last Name]], Employee[[#This Row],[First Name]])</f>
        <v>Mills, Melissa</v>
      </c>
      <c r="D676" t="s">
        <v>155</v>
      </c>
      <c r="E676" t="s">
        <v>1146</v>
      </c>
      <c r="F676" s="61">
        <v>40317</v>
      </c>
      <c r="G676">
        <v>7</v>
      </c>
      <c r="H676" t="s">
        <v>145</v>
      </c>
      <c r="I676" s="62">
        <v>59922</v>
      </c>
      <c r="J676">
        <v>3</v>
      </c>
    </row>
    <row r="677" spans="1:10" hidden="1" x14ac:dyDescent="0.25">
      <c r="A677" t="s">
        <v>1197</v>
      </c>
      <c r="B677" t="s">
        <v>384</v>
      </c>
      <c r="C677" t="str">
        <f>_xlfn.TEXTJOIN(",",TRUE, Employee[[#This Row],[Last Name]], Employee[[#This Row],[First Name]])</f>
        <v>Stevenson, Michael</v>
      </c>
      <c r="D677" t="s">
        <v>178</v>
      </c>
      <c r="E677" t="s">
        <v>1146</v>
      </c>
      <c r="F677" s="61">
        <v>40326</v>
      </c>
      <c r="G677">
        <v>7</v>
      </c>
      <c r="H677" t="s">
        <v>145</v>
      </c>
      <c r="I677" s="62">
        <v>80964</v>
      </c>
      <c r="J677">
        <v>1</v>
      </c>
    </row>
    <row r="678" spans="1:10" hidden="1" x14ac:dyDescent="0.25">
      <c r="A678" t="s">
        <v>1198</v>
      </c>
      <c r="B678" t="s">
        <v>1199</v>
      </c>
      <c r="C678" t="str">
        <f>_xlfn.TEXTJOIN(",",TRUE, Employee[[#This Row],[Last Name]], Employee[[#This Row],[First Name]])</f>
        <v>Ellison, Melyssa</v>
      </c>
      <c r="D678" t="s">
        <v>155</v>
      </c>
      <c r="E678" t="s">
        <v>1146</v>
      </c>
      <c r="F678" s="61">
        <v>40331</v>
      </c>
      <c r="G678">
        <v>7</v>
      </c>
      <c r="H678" t="s">
        <v>168</v>
      </c>
      <c r="I678" s="62">
        <v>68347</v>
      </c>
      <c r="J678">
        <v>4</v>
      </c>
    </row>
    <row r="679" spans="1:10" x14ac:dyDescent="0.25">
      <c r="A679" t="s">
        <v>1200</v>
      </c>
      <c r="B679" t="s">
        <v>914</v>
      </c>
      <c r="C679" t="str">
        <f>_xlfn.TEXTJOIN(",",TRUE, Employee[[#This Row],[Last Name]], Employee[[#This Row],[First Name]])</f>
        <v>Sheppard, Curtis</v>
      </c>
      <c r="D679" t="s">
        <v>161</v>
      </c>
      <c r="E679" t="s">
        <v>1146</v>
      </c>
      <c r="F679" s="61">
        <v>37408</v>
      </c>
      <c r="G679">
        <v>15</v>
      </c>
      <c r="H679" t="s">
        <v>168</v>
      </c>
      <c r="I679" s="62">
        <v>90273</v>
      </c>
      <c r="J679">
        <v>2</v>
      </c>
    </row>
    <row r="680" spans="1:10" x14ac:dyDescent="0.25">
      <c r="A680" t="s">
        <v>1201</v>
      </c>
      <c r="B680" t="s">
        <v>532</v>
      </c>
      <c r="C680" t="str">
        <f>_xlfn.TEXTJOIN(",",TRUE, Employee[[#This Row],[Last Name]], Employee[[#This Row],[First Name]])</f>
        <v>Keith, Thomas</v>
      </c>
      <c r="D680" t="s">
        <v>151</v>
      </c>
      <c r="E680" t="s">
        <v>1146</v>
      </c>
      <c r="F680" s="61">
        <v>38143</v>
      </c>
      <c r="G680">
        <v>13</v>
      </c>
      <c r="H680" t="s">
        <v>145</v>
      </c>
      <c r="I680" s="62">
        <v>79612</v>
      </c>
      <c r="J680">
        <v>5</v>
      </c>
    </row>
    <row r="681" spans="1:10" hidden="1" x14ac:dyDescent="0.25">
      <c r="A681" t="s">
        <v>1202</v>
      </c>
      <c r="B681" t="s">
        <v>429</v>
      </c>
      <c r="C681" t="str">
        <f>_xlfn.TEXTJOIN(",",TRUE, Employee[[#This Row],[Last Name]], Employee[[#This Row],[First Name]])</f>
        <v>Garrett, Chris</v>
      </c>
      <c r="D681" t="s">
        <v>137</v>
      </c>
      <c r="E681" t="s">
        <v>1146</v>
      </c>
      <c r="F681" s="61">
        <v>40680</v>
      </c>
      <c r="G681">
        <v>6</v>
      </c>
      <c r="H681" t="s">
        <v>139</v>
      </c>
      <c r="I681" s="62">
        <v>101128</v>
      </c>
      <c r="J681">
        <v>5</v>
      </c>
    </row>
    <row r="682" spans="1:10" hidden="1" x14ac:dyDescent="0.25">
      <c r="A682" t="s">
        <v>1203</v>
      </c>
      <c r="B682" t="s">
        <v>425</v>
      </c>
      <c r="C682" t="str">
        <f>_xlfn.TEXTJOIN(",",TRUE, Employee[[#This Row],[Last Name]], Employee[[#This Row],[First Name]])</f>
        <v>Cook, Mark</v>
      </c>
      <c r="D682" t="s">
        <v>151</v>
      </c>
      <c r="E682" t="s">
        <v>1146</v>
      </c>
      <c r="F682" s="61">
        <v>41412</v>
      </c>
      <c r="G682">
        <v>4</v>
      </c>
      <c r="H682" t="s">
        <v>145</v>
      </c>
      <c r="I682" s="62">
        <v>117261</v>
      </c>
      <c r="J682">
        <v>1</v>
      </c>
    </row>
    <row r="683" spans="1:10" hidden="1" x14ac:dyDescent="0.25">
      <c r="A683" t="s">
        <v>1204</v>
      </c>
      <c r="B683" t="s">
        <v>1205</v>
      </c>
      <c r="C683" t="str">
        <f>_xlfn.TEXTJOIN(",",TRUE, Employee[[#This Row],[Last Name]], Employee[[#This Row],[First Name]])</f>
        <v>Bowen, Kes</v>
      </c>
      <c r="D683" t="s">
        <v>137</v>
      </c>
      <c r="E683" t="s">
        <v>1146</v>
      </c>
      <c r="F683" s="61">
        <v>42172</v>
      </c>
      <c r="G683">
        <v>2</v>
      </c>
      <c r="H683" t="s">
        <v>145</v>
      </c>
      <c r="I683" s="62">
        <v>69745</v>
      </c>
      <c r="J683">
        <v>4</v>
      </c>
    </row>
    <row r="684" spans="1:10" hidden="1" x14ac:dyDescent="0.25">
      <c r="A684" t="s">
        <v>1206</v>
      </c>
      <c r="B684" t="s">
        <v>1207</v>
      </c>
      <c r="C684" t="str">
        <f>_xlfn.TEXTJOIN(",",TRUE, Employee[[#This Row],[Last Name]], Employee[[#This Row],[First Name]])</f>
        <v>Davis, Tonya</v>
      </c>
      <c r="D684" t="s">
        <v>161</v>
      </c>
      <c r="E684" t="s">
        <v>1146</v>
      </c>
      <c r="F684" s="61">
        <v>42189</v>
      </c>
      <c r="G684">
        <v>2</v>
      </c>
      <c r="H684" t="s">
        <v>142</v>
      </c>
      <c r="I684" s="62">
        <v>84580</v>
      </c>
      <c r="J684">
        <v>3</v>
      </c>
    </row>
    <row r="685" spans="1:10" hidden="1" x14ac:dyDescent="0.25">
      <c r="A685" t="s">
        <v>1208</v>
      </c>
      <c r="B685" t="s">
        <v>1209</v>
      </c>
      <c r="C685" t="str">
        <f>_xlfn.TEXTJOIN(",",TRUE, Employee[[#This Row],[Last Name]], Employee[[#This Row],[First Name]])</f>
        <v>Hubbard, Sandra</v>
      </c>
      <c r="D685" t="s">
        <v>161</v>
      </c>
      <c r="E685" t="s">
        <v>1146</v>
      </c>
      <c r="F685" s="61">
        <v>40345</v>
      </c>
      <c r="G685">
        <v>7</v>
      </c>
      <c r="H685" t="s">
        <v>139</v>
      </c>
      <c r="I685" s="62">
        <v>125113</v>
      </c>
      <c r="J685">
        <v>2</v>
      </c>
    </row>
    <row r="686" spans="1:10" hidden="1" x14ac:dyDescent="0.25">
      <c r="A686" t="s">
        <v>1210</v>
      </c>
      <c r="B686" t="s">
        <v>532</v>
      </c>
      <c r="C686" t="str">
        <f>_xlfn.TEXTJOIN(",",TRUE, Employee[[#This Row],[Last Name]], Employee[[#This Row],[First Name]])</f>
        <v>Blake, Thomas</v>
      </c>
      <c r="D686" t="s">
        <v>178</v>
      </c>
      <c r="E686" t="s">
        <v>1146</v>
      </c>
      <c r="F686" s="61">
        <v>40350</v>
      </c>
      <c r="G686">
        <v>7</v>
      </c>
      <c r="H686" t="s">
        <v>145</v>
      </c>
      <c r="I686" s="62">
        <v>70130</v>
      </c>
      <c r="J686">
        <v>3</v>
      </c>
    </row>
    <row r="687" spans="1:10" hidden="1" x14ac:dyDescent="0.25">
      <c r="A687" t="s">
        <v>1211</v>
      </c>
      <c r="B687" t="s">
        <v>206</v>
      </c>
      <c r="C687" t="str">
        <f>_xlfn.TEXTJOIN(",",TRUE, Employee[[#This Row],[Last Name]], Employee[[#This Row],[First Name]])</f>
        <v>Buchanan, Dennis</v>
      </c>
      <c r="D687" t="s">
        <v>155</v>
      </c>
      <c r="E687" t="s">
        <v>1146</v>
      </c>
      <c r="F687" s="61">
        <v>40726</v>
      </c>
      <c r="G687">
        <v>6</v>
      </c>
      <c r="H687" t="s">
        <v>145</v>
      </c>
      <c r="I687" s="62">
        <v>66946</v>
      </c>
      <c r="J687">
        <v>1</v>
      </c>
    </row>
    <row r="688" spans="1:10" hidden="1" x14ac:dyDescent="0.25">
      <c r="A688" t="s">
        <v>1212</v>
      </c>
      <c r="B688" t="s">
        <v>177</v>
      </c>
      <c r="C688" t="str">
        <f>_xlfn.TEXTJOIN(",",TRUE, Employee[[#This Row],[Last Name]], Employee[[#This Row],[First Name]])</f>
        <v>Brown, Donald</v>
      </c>
      <c r="D688" t="s">
        <v>155</v>
      </c>
      <c r="E688" t="s">
        <v>1146</v>
      </c>
      <c r="F688" s="61">
        <v>41438</v>
      </c>
      <c r="G688">
        <v>4</v>
      </c>
      <c r="H688" t="s">
        <v>145</v>
      </c>
      <c r="I688" s="62">
        <v>52272</v>
      </c>
      <c r="J688">
        <v>3</v>
      </c>
    </row>
    <row r="689" spans="1:10" hidden="1" x14ac:dyDescent="0.25">
      <c r="A689" t="s">
        <v>1213</v>
      </c>
      <c r="B689" t="s">
        <v>384</v>
      </c>
      <c r="C689" t="str">
        <f>_xlfn.TEXTJOIN(",",TRUE, Employee[[#This Row],[Last Name]], Employee[[#This Row],[First Name]])</f>
        <v>Harvey, Michael</v>
      </c>
      <c r="D689" t="s">
        <v>155</v>
      </c>
      <c r="E689" t="s">
        <v>1146</v>
      </c>
      <c r="F689" s="61">
        <v>41467</v>
      </c>
      <c r="G689">
        <v>4</v>
      </c>
      <c r="H689" t="s">
        <v>139</v>
      </c>
      <c r="I689" s="62">
        <v>107695</v>
      </c>
      <c r="J689">
        <v>5</v>
      </c>
    </row>
    <row r="690" spans="1:10" hidden="1" x14ac:dyDescent="0.25">
      <c r="A690" t="s">
        <v>1214</v>
      </c>
      <c r="B690" t="s">
        <v>405</v>
      </c>
      <c r="C690" t="str">
        <f>_xlfn.TEXTJOIN(",",TRUE, Employee[[#This Row],[Last Name]], Employee[[#This Row],[First Name]])</f>
        <v>Ware, David</v>
      </c>
      <c r="D690" t="s">
        <v>155</v>
      </c>
      <c r="E690" t="s">
        <v>1146</v>
      </c>
      <c r="F690" s="61">
        <v>39992</v>
      </c>
      <c r="G690">
        <v>8</v>
      </c>
      <c r="H690" t="s">
        <v>185</v>
      </c>
      <c r="I690" s="62">
        <v>60730</v>
      </c>
      <c r="J690">
        <v>2</v>
      </c>
    </row>
    <row r="691" spans="1:10" x14ac:dyDescent="0.25">
      <c r="A691" t="s">
        <v>1215</v>
      </c>
      <c r="B691" t="s">
        <v>309</v>
      </c>
      <c r="C691" t="str">
        <f>_xlfn.TEXTJOIN(",",TRUE, Employee[[#This Row],[Last Name]], Employee[[#This Row],[First Name]])</f>
        <v>Parks, Christopher</v>
      </c>
      <c r="D691" t="s">
        <v>148</v>
      </c>
      <c r="E691" t="s">
        <v>1146</v>
      </c>
      <c r="F691" s="61">
        <v>37443</v>
      </c>
      <c r="G691">
        <v>15</v>
      </c>
      <c r="H691" t="s">
        <v>152</v>
      </c>
      <c r="I691" s="62">
        <v>65753</v>
      </c>
      <c r="J691">
        <v>2</v>
      </c>
    </row>
    <row r="692" spans="1:10" x14ac:dyDescent="0.25">
      <c r="A692" t="s">
        <v>1216</v>
      </c>
      <c r="B692" t="s">
        <v>1217</v>
      </c>
      <c r="C692" t="str">
        <f>_xlfn.TEXTJOIN(",",TRUE, Employee[[#This Row],[Last Name]], Employee[[#This Row],[First Name]])</f>
        <v>Kennedy, Kimberly</v>
      </c>
      <c r="D692" t="s">
        <v>161</v>
      </c>
      <c r="E692" t="s">
        <v>1146</v>
      </c>
      <c r="F692" s="61">
        <v>38177</v>
      </c>
      <c r="G692">
        <v>13</v>
      </c>
      <c r="H692" t="s">
        <v>145</v>
      </c>
      <c r="I692" s="62">
        <v>92000</v>
      </c>
      <c r="J692">
        <v>5</v>
      </c>
    </row>
    <row r="693" spans="1:10" x14ac:dyDescent="0.25">
      <c r="A693" t="s">
        <v>1218</v>
      </c>
      <c r="B693" t="s">
        <v>1219</v>
      </c>
      <c r="C693" t="str">
        <f>_xlfn.TEXTJOIN(",",TRUE, Employee[[#This Row],[Last Name]], Employee[[#This Row],[First Name]])</f>
        <v>Salazar, Ruben</v>
      </c>
      <c r="D693" t="s">
        <v>151</v>
      </c>
      <c r="E693" t="s">
        <v>1146</v>
      </c>
      <c r="F693" s="61">
        <v>38531</v>
      </c>
      <c r="G693">
        <v>12</v>
      </c>
      <c r="H693" t="s">
        <v>145</v>
      </c>
      <c r="I693" s="62">
        <v>120325</v>
      </c>
      <c r="J693">
        <v>4</v>
      </c>
    </row>
    <row r="694" spans="1:10" x14ac:dyDescent="0.25">
      <c r="A694" t="s">
        <v>1220</v>
      </c>
      <c r="B694" t="s">
        <v>170</v>
      </c>
      <c r="C694" t="str">
        <f>_xlfn.TEXTJOIN(",",TRUE, Employee[[#This Row],[Last Name]], Employee[[#This Row],[First Name]])</f>
        <v>Davenport, Troy</v>
      </c>
      <c r="D694" t="s">
        <v>155</v>
      </c>
      <c r="E694" t="s">
        <v>1146</v>
      </c>
      <c r="F694" s="61">
        <v>38888</v>
      </c>
      <c r="G694">
        <v>11</v>
      </c>
      <c r="H694" t="s">
        <v>185</v>
      </c>
      <c r="I694" s="62">
        <v>109251</v>
      </c>
      <c r="J694">
        <v>3</v>
      </c>
    </row>
    <row r="695" spans="1:10" hidden="1" x14ac:dyDescent="0.25">
      <c r="A695" t="s">
        <v>1221</v>
      </c>
      <c r="B695" t="s">
        <v>347</v>
      </c>
      <c r="C695" t="str">
        <f>_xlfn.TEXTJOIN(",",TRUE, Employee[[#This Row],[Last Name]], Employee[[#This Row],[First Name]])</f>
        <v>Cochran, Andrea</v>
      </c>
      <c r="D695" t="s">
        <v>155</v>
      </c>
      <c r="E695" t="s">
        <v>1146</v>
      </c>
      <c r="F695" s="61">
        <v>40361</v>
      </c>
      <c r="G695">
        <v>7</v>
      </c>
      <c r="H695" t="s">
        <v>139</v>
      </c>
      <c r="I695" s="62">
        <v>98485</v>
      </c>
      <c r="J695">
        <v>3</v>
      </c>
    </row>
    <row r="696" spans="1:10" hidden="1" x14ac:dyDescent="0.25">
      <c r="A696" t="s">
        <v>1222</v>
      </c>
      <c r="B696" t="s">
        <v>1223</v>
      </c>
      <c r="C696" t="str">
        <f>_xlfn.TEXTJOIN(",",TRUE, Employee[[#This Row],[Last Name]], Employee[[#This Row],[First Name]])</f>
        <v>Wilkerson, Claudia</v>
      </c>
      <c r="D696" t="s">
        <v>161</v>
      </c>
      <c r="E696" t="s">
        <v>1146</v>
      </c>
      <c r="F696" s="61">
        <v>41096</v>
      </c>
      <c r="G696">
        <v>5</v>
      </c>
      <c r="H696" t="s">
        <v>185</v>
      </c>
      <c r="I696" s="62">
        <v>121824</v>
      </c>
      <c r="J696">
        <v>3</v>
      </c>
    </row>
    <row r="697" spans="1:10" hidden="1" x14ac:dyDescent="0.25">
      <c r="A697" t="s">
        <v>1224</v>
      </c>
      <c r="B697" t="s">
        <v>703</v>
      </c>
      <c r="C697" t="str">
        <f>_xlfn.TEXTJOIN(",",TRUE, Employee[[#This Row],[Last Name]], Employee[[#This Row],[First Name]])</f>
        <v>Snyder, Duane</v>
      </c>
      <c r="D697" t="s">
        <v>137</v>
      </c>
      <c r="E697" t="s">
        <v>1146</v>
      </c>
      <c r="F697" s="61">
        <v>42203</v>
      </c>
      <c r="G697">
        <v>2</v>
      </c>
      <c r="H697" t="s">
        <v>145</v>
      </c>
      <c r="I697" s="62">
        <v>87932</v>
      </c>
      <c r="J697">
        <v>3</v>
      </c>
    </row>
    <row r="698" spans="1:10" hidden="1" x14ac:dyDescent="0.25">
      <c r="A698" t="s">
        <v>1225</v>
      </c>
      <c r="B698" t="s">
        <v>234</v>
      </c>
      <c r="C698" t="str">
        <f>_xlfn.TEXTJOIN(",",TRUE, Employee[[#This Row],[Last Name]], Employee[[#This Row],[First Name]])</f>
        <v>Myers, Marc</v>
      </c>
      <c r="D698" t="s">
        <v>178</v>
      </c>
      <c r="E698" t="s">
        <v>1146</v>
      </c>
      <c r="F698" s="61">
        <v>41471</v>
      </c>
      <c r="G698">
        <v>4</v>
      </c>
      <c r="H698" t="s">
        <v>145</v>
      </c>
      <c r="I698" s="62">
        <v>78997</v>
      </c>
      <c r="J698">
        <v>5</v>
      </c>
    </row>
    <row r="699" spans="1:10" hidden="1" x14ac:dyDescent="0.25">
      <c r="A699" t="s">
        <v>1226</v>
      </c>
      <c r="B699" t="s">
        <v>1227</v>
      </c>
      <c r="C699" t="str">
        <f>_xlfn.TEXTJOIN(",",TRUE, Employee[[#This Row],[Last Name]], Employee[[#This Row],[First Name]])</f>
        <v>Beard, Sandi</v>
      </c>
      <c r="D699" t="s">
        <v>151</v>
      </c>
      <c r="E699" t="s">
        <v>1146</v>
      </c>
      <c r="F699" s="61">
        <v>41488</v>
      </c>
      <c r="G699">
        <v>4</v>
      </c>
      <c r="H699" t="s">
        <v>185</v>
      </c>
      <c r="I699" s="62">
        <v>45391</v>
      </c>
      <c r="J699">
        <v>2</v>
      </c>
    </row>
    <row r="700" spans="1:10" hidden="1" x14ac:dyDescent="0.25">
      <c r="A700" t="s">
        <v>1228</v>
      </c>
      <c r="B700" t="s">
        <v>1229</v>
      </c>
      <c r="C700" t="str">
        <f>_xlfn.TEXTJOIN(",",TRUE, Employee[[#This Row],[Last Name]], Employee[[#This Row],[First Name]])</f>
        <v>Willis, Ralph</v>
      </c>
      <c r="D700" t="s">
        <v>148</v>
      </c>
      <c r="E700" t="s">
        <v>1146</v>
      </c>
      <c r="F700" s="61">
        <v>41498</v>
      </c>
      <c r="G700">
        <v>4</v>
      </c>
      <c r="H700" t="s">
        <v>139</v>
      </c>
      <c r="I700" s="62">
        <v>43394</v>
      </c>
      <c r="J700">
        <v>4</v>
      </c>
    </row>
    <row r="701" spans="1:10" x14ac:dyDescent="0.25">
      <c r="A701" t="s">
        <v>1230</v>
      </c>
      <c r="B701" t="s">
        <v>254</v>
      </c>
      <c r="C701" t="str">
        <f>_xlfn.TEXTJOIN(",",TRUE, Employee[[#This Row],[Last Name]], Employee[[#This Row],[First Name]])</f>
        <v>Crawford, Ronald</v>
      </c>
      <c r="D701" t="s">
        <v>155</v>
      </c>
      <c r="E701" t="s">
        <v>1146</v>
      </c>
      <c r="F701" s="61">
        <v>37103</v>
      </c>
      <c r="G701">
        <v>16</v>
      </c>
      <c r="H701" t="s">
        <v>142</v>
      </c>
      <c r="I701" s="62">
        <v>107900</v>
      </c>
      <c r="J701">
        <v>5</v>
      </c>
    </row>
    <row r="702" spans="1:10" x14ac:dyDescent="0.25">
      <c r="A702" t="s">
        <v>1231</v>
      </c>
      <c r="B702" t="s">
        <v>1232</v>
      </c>
      <c r="C702" t="str">
        <f>_xlfn.TEXTJOIN(",",TRUE, Employee[[#This Row],[Last Name]], Employee[[#This Row],[First Name]])</f>
        <v>Mueller, Philip</v>
      </c>
      <c r="D702" t="s">
        <v>148</v>
      </c>
      <c r="E702" t="s">
        <v>1146</v>
      </c>
      <c r="F702" s="61">
        <v>38573</v>
      </c>
      <c r="G702">
        <v>12</v>
      </c>
      <c r="H702" t="s">
        <v>168</v>
      </c>
      <c r="I702" s="62">
        <v>61685</v>
      </c>
      <c r="J702">
        <v>2</v>
      </c>
    </row>
    <row r="703" spans="1:10" hidden="1" x14ac:dyDescent="0.25">
      <c r="A703" t="s">
        <v>1233</v>
      </c>
      <c r="B703" t="s">
        <v>165</v>
      </c>
      <c r="C703" t="str">
        <f>_xlfn.TEXTJOIN(",",TRUE, Employee[[#This Row],[Last Name]], Employee[[#This Row],[First Name]])</f>
        <v>Rivera, Timothy</v>
      </c>
      <c r="D703" t="s">
        <v>178</v>
      </c>
      <c r="E703" t="s">
        <v>1146</v>
      </c>
      <c r="F703" s="61">
        <v>40757</v>
      </c>
      <c r="G703">
        <v>6</v>
      </c>
      <c r="H703" t="s">
        <v>139</v>
      </c>
      <c r="I703" s="62">
        <v>89144</v>
      </c>
      <c r="J703">
        <v>5</v>
      </c>
    </row>
    <row r="704" spans="1:10" hidden="1" x14ac:dyDescent="0.25">
      <c r="A704" t="s">
        <v>1234</v>
      </c>
      <c r="B704" t="s">
        <v>1173</v>
      </c>
      <c r="C704" t="str">
        <f>_xlfn.TEXTJOIN(",",TRUE, Employee[[#This Row],[Last Name]], Employee[[#This Row],[First Name]])</f>
        <v>Gibson, Janet</v>
      </c>
      <c r="D704" t="s">
        <v>155</v>
      </c>
      <c r="E704" t="s">
        <v>1146</v>
      </c>
      <c r="F704" s="61">
        <v>40797</v>
      </c>
      <c r="G704">
        <v>6</v>
      </c>
      <c r="H704" t="s">
        <v>145</v>
      </c>
      <c r="I704" s="62">
        <v>113344</v>
      </c>
      <c r="J704">
        <v>4</v>
      </c>
    </row>
    <row r="705" spans="1:10" hidden="1" x14ac:dyDescent="0.25">
      <c r="A705" t="s">
        <v>1235</v>
      </c>
      <c r="B705" t="s">
        <v>405</v>
      </c>
      <c r="C705" t="str">
        <f>_xlfn.TEXTJOIN(",",TRUE, Employee[[#This Row],[Last Name]], Employee[[#This Row],[First Name]])</f>
        <v>Graham, David</v>
      </c>
      <c r="D705" t="s">
        <v>155</v>
      </c>
      <c r="E705" t="s">
        <v>1146</v>
      </c>
      <c r="F705" s="61">
        <v>41878</v>
      </c>
      <c r="G705">
        <v>3</v>
      </c>
      <c r="H705" t="s">
        <v>145</v>
      </c>
      <c r="I705" s="62">
        <v>81059</v>
      </c>
      <c r="J705">
        <v>5</v>
      </c>
    </row>
    <row r="706" spans="1:10" hidden="1" x14ac:dyDescent="0.25">
      <c r="A706" t="s">
        <v>1236</v>
      </c>
      <c r="B706" t="s">
        <v>380</v>
      </c>
      <c r="C706" t="str">
        <f>_xlfn.TEXTJOIN(",",TRUE, Employee[[#This Row],[Last Name]], Employee[[#This Row],[First Name]])</f>
        <v>Lopez, Stephen</v>
      </c>
      <c r="D706" t="s">
        <v>161</v>
      </c>
      <c r="E706" t="s">
        <v>1146</v>
      </c>
      <c r="F706" s="61">
        <v>41889</v>
      </c>
      <c r="G706">
        <v>3</v>
      </c>
      <c r="H706" t="s">
        <v>145</v>
      </c>
      <c r="I706" s="62">
        <v>85067</v>
      </c>
      <c r="J706">
        <v>4</v>
      </c>
    </row>
    <row r="707" spans="1:10" hidden="1" x14ac:dyDescent="0.25">
      <c r="A707" t="s">
        <v>1237</v>
      </c>
      <c r="B707" t="s">
        <v>979</v>
      </c>
      <c r="C707" t="str">
        <f>_xlfn.TEXTJOIN(",",TRUE, Employee[[#This Row],[Last Name]], Employee[[#This Row],[First Name]])</f>
        <v>Ortiz, Cynthia</v>
      </c>
      <c r="D707" t="s">
        <v>137</v>
      </c>
      <c r="E707" t="s">
        <v>1146</v>
      </c>
      <c r="F707" s="61">
        <v>40421</v>
      </c>
      <c r="G707">
        <v>7</v>
      </c>
      <c r="H707" t="s">
        <v>168</v>
      </c>
      <c r="I707" s="62">
        <v>107127</v>
      </c>
      <c r="J707">
        <v>4</v>
      </c>
    </row>
    <row r="708" spans="1:10" hidden="1" x14ac:dyDescent="0.25">
      <c r="A708" t="s">
        <v>1238</v>
      </c>
      <c r="B708" t="s">
        <v>998</v>
      </c>
      <c r="C708" t="str">
        <f>_xlfn.TEXTJOIN(",",TRUE, Employee[[#This Row],[Last Name]], Employee[[#This Row],[First Name]])</f>
        <v>Hall, Jenny</v>
      </c>
      <c r="D708" t="s">
        <v>178</v>
      </c>
      <c r="E708" t="s">
        <v>1146</v>
      </c>
      <c r="F708" s="61">
        <v>41529</v>
      </c>
      <c r="G708">
        <v>4</v>
      </c>
      <c r="H708" t="s">
        <v>145</v>
      </c>
      <c r="I708" s="62">
        <v>99340</v>
      </c>
      <c r="J708">
        <v>2</v>
      </c>
    </row>
    <row r="709" spans="1:10" x14ac:dyDescent="0.25">
      <c r="A709" t="s">
        <v>1239</v>
      </c>
      <c r="B709" t="s">
        <v>1240</v>
      </c>
      <c r="C709" t="str">
        <f>_xlfn.TEXTJOIN(",",TRUE, Employee[[#This Row],[Last Name]], Employee[[#This Row],[First Name]])</f>
        <v>Cruz, Janene</v>
      </c>
      <c r="D709" t="s">
        <v>178</v>
      </c>
      <c r="E709" t="s">
        <v>1146</v>
      </c>
      <c r="F709" s="61">
        <v>37131</v>
      </c>
      <c r="G709">
        <v>16</v>
      </c>
      <c r="H709" t="s">
        <v>168</v>
      </c>
      <c r="I709" s="62">
        <v>49683</v>
      </c>
      <c r="J709">
        <v>5</v>
      </c>
    </row>
    <row r="710" spans="1:10" x14ac:dyDescent="0.25">
      <c r="A710" t="s">
        <v>1241</v>
      </c>
      <c r="B710" t="s">
        <v>1242</v>
      </c>
      <c r="C710" t="str">
        <f>_xlfn.TEXTJOIN(",",TRUE, Employee[[#This Row],[Last Name]], Employee[[#This Row],[First Name]])</f>
        <v>Jimenez, Dominic</v>
      </c>
      <c r="D710" t="s">
        <v>151</v>
      </c>
      <c r="E710" t="s">
        <v>1146</v>
      </c>
      <c r="F710" s="61">
        <v>38219</v>
      </c>
      <c r="G710">
        <v>13</v>
      </c>
      <c r="H710" t="s">
        <v>145</v>
      </c>
      <c r="I710" s="62">
        <v>71758</v>
      </c>
      <c r="J710">
        <v>3</v>
      </c>
    </row>
    <row r="711" spans="1:10" hidden="1" x14ac:dyDescent="0.25">
      <c r="A711" t="s">
        <v>1243</v>
      </c>
      <c r="B711" t="s">
        <v>222</v>
      </c>
      <c r="C711" t="str">
        <f>_xlfn.TEXTJOIN(",",TRUE, Employee[[#This Row],[Last Name]], Employee[[#This Row],[First Name]])</f>
        <v>Sanchez, Greg</v>
      </c>
      <c r="D711" t="s">
        <v>161</v>
      </c>
      <c r="E711" t="s">
        <v>1146</v>
      </c>
      <c r="F711" s="61">
        <v>41555</v>
      </c>
      <c r="G711">
        <v>4</v>
      </c>
      <c r="H711" t="s">
        <v>139</v>
      </c>
      <c r="I711" s="62">
        <v>94817</v>
      </c>
      <c r="J711">
        <v>5</v>
      </c>
    </row>
    <row r="712" spans="1:10" x14ac:dyDescent="0.25">
      <c r="A712" t="s">
        <v>1244</v>
      </c>
      <c r="B712" t="s">
        <v>644</v>
      </c>
      <c r="C712" t="str">
        <f>_xlfn.TEXTJOIN(",",TRUE, Employee[[#This Row],[Last Name]], Employee[[#This Row],[First Name]])</f>
        <v>Thomas, Shannon</v>
      </c>
      <c r="D712" t="s">
        <v>148</v>
      </c>
      <c r="E712" t="s">
        <v>1146</v>
      </c>
      <c r="F712" s="61">
        <v>37158</v>
      </c>
      <c r="G712">
        <v>16</v>
      </c>
      <c r="H712" t="s">
        <v>185</v>
      </c>
      <c r="I712" s="62">
        <v>95259</v>
      </c>
      <c r="J712">
        <v>5</v>
      </c>
    </row>
    <row r="713" spans="1:10" x14ac:dyDescent="0.25">
      <c r="A713" t="s">
        <v>1245</v>
      </c>
      <c r="B713" t="s">
        <v>877</v>
      </c>
      <c r="C713" t="str">
        <f>_xlfn.TEXTJOIN(",",TRUE, Employee[[#This Row],[Last Name]], Employee[[#This Row],[First Name]])</f>
        <v>Larsen, Lara</v>
      </c>
      <c r="D713" t="s">
        <v>151</v>
      </c>
      <c r="E713" t="s">
        <v>1146</v>
      </c>
      <c r="F713" s="61">
        <v>37536</v>
      </c>
      <c r="G713">
        <v>15</v>
      </c>
      <c r="H713" t="s">
        <v>145</v>
      </c>
      <c r="I713" s="62">
        <v>122620</v>
      </c>
      <c r="J713">
        <v>2</v>
      </c>
    </row>
    <row r="714" spans="1:10" x14ac:dyDescent="0.25">
      <c r="A714" t="s">
        <v>1246</v>
      </c>
      <c r="B714" t="s">
        <v>1247</v>
      </c>
      <c r="C714" t="str">
        <f>_xlfn.TEXTJOIN(",",TRUE, Employee[[#This Row],[Last Name]], Employee[[#This Row],[First Name]])</f>
        <v>Goodwin, April</v>
      </c>
      <c r="D714" t="s">
        <v>155</v>
      </c>
      <c r="E714" t="s">
        <v>1146</v>
      </c>
      <c r="F714" s="61">
        <v>37540</v>
      </c>
      <c r="G714">
        <v>15</v>
      </c>
      <c r="H714" t="s">
        <v>185</v>
      </c>
      <c r="I714" s="62">
        <v>84005</v>
      </c>
      <c r="J714">
        <v>5</v>
      </c>
    </row>
    <row r="715" spans="1:10" hidden="1" x14ac:dyDescent="0.25">
      <c r="A715" t="s">
        <v>1248</v>
      </c>
      <c r="B715" t="s">
        <v>425</v>
      </c>
      <c r="C715" t="str">
        <f>_xlfn.TEXTJOIN(",",TRUE, Employee[[#This Row],[Last Name]], Employee[[#This Row],[First Name]])</f>
        <v>Gray, Mark</v>
      </c>
      <c r="D715" t="s">
        <v>148</v>
      </c>
      <c r="E715" t="s">
        <v>1146</v>
      </c>
      <c r="F715" s="61">
        <v>40800</v>
      </c>
      <c r="G715">
        <v>6</v>
      </c>
      <c r="H715" t="s">
        <v>139</v>
      </c>
      <c r="I715" s="62">
        <v>88801</v>
      </c>
      <c r="J715">
        <v>2</v>
      </c>
    </row>
    <row r="716" spans="1:10" hidden="1" x14ac:dyDescent="0.25">
      <c r="A716" t="s">
        <v>1249</v>
      </c>
      <c r="B716" t="s">
        <v>1088</v>
      </c>
      <c r="C716" t="str">
        <f>_xlfn.TEXTJOIN(",",TRUE, Employee[[#This Row],[Last Name]], Employee[[#This Row],[First Name]])</f>
        <v>Sims, Don</v>
      </c>
      <c r="D716" t="s">
        <v>137</v>
      </c>
      <c r="E716" t="s">
        <v>1146</v>
      </c>
      <c r="F716" s="61">
        <v>40820</v>
      </c>
      <c r="G716">
        <v>6</v>
      </c>
      <c r="H716" t="s">
        <v>145</v>
      </c>
      <c r="I716" s="62">
        <v>74122</v>
      </c>
      <c r="J716">
        <v>2</v>
      </c>
    </row>
    <row r="717" spans="1:10" hidden="1" x14ac:dyDescent="0.25">
      <c r="A717" t="s">
        <v>1250</v>
      </c>
      <c r="B717" t="s">
        <v>979</v>
      </c>
      <c r="C717" t="str">
        <f>_xlfn.TEXTJOIN(",",TRUE, Employee[[#This Row],[Last Name]], Employee[[#This Row],[First Name]])</f>
        <v>Marsh, Cynthia</v>
      </c>
      <c r="D717" t="s">
        <v>155</v>
      </c>
      <c r="E717" t="s">
        <v>1146</v>
      </c>
      <c r="F717" s="61">
        <v>40806</v>
      </c>
      <c r="G717">
        <v>6</v>
      </c>
      <c r="H717" t="s">
        <v>139</v>
      </c>
      <c r="I717" s="62">
        <v>70695</v>
      </c>
      <c r="J717">
        <v>5</v>
      </c>
    </row>
    <row r="718" spans="1:10" hidden="1" x14ac:dyDescent="0.25">
      <c r="A718" t="s">
        <v>1251</v>
      </c>
      <c r="B718" t="s">
        <v>368</v>
      </c>
      <c r="C718" t="str">
        <f>_xlfn.TEXTJOIN(",",TRUE, Employee[[#This Row],[Last Name]], Employee[[#This Row],[First Name]])</f>
        <v>Martin, Terry</v>
      </c>
      <c r="D718" t="s">
        <v>137</v>
      </c>
      <c r="E718" t="s">
        <v>1146</v>
      </c>
      <c r="F718" s="61">
        <v>40806</v>
      </c>
      <c r="G718">
        <v>6</v>
      </c>
      <c r="H718" t="s">
        <v>145</v>
      </c>
      <c r="I718" s="62">
        <v>68996</v>
      </c>
      <c r="J718">
        <v>5</v>
      </c>
    </row>
    <row r="719" spans="1:10" hidden="1" x14ac:dyDescent="0.25">
      <c r="A719" t="s">
        <v>1252</v>
      </c>
      <c r="B719" t="s">
        <v>1253</v>
      </c>
      <c r="C719" t="str">
        <f>_xlfn.TEXTJOIN(",",TRUE, Employee[[#This Row],[Last Name]], Employee[[#This Row],[First Name]])</f>
        <v>Craig, Alan</v>
      </c>
      <c r="D719" t="s">
        <v>161</v>
      </c>
      <c r="E719" t="s">
        <v>1146</v>
      </c>
      <c r="F719" s="61">
        <v>40846</v>
      </c>
      <c r="G719">
        <v>5</v>
      </c>
      <c r="H719" t="s">
        <v>145</v>
      </c>
      <c r="I719" s="62">
        <v>60068</v>
      </c>
      <c r="J719">
        <v>5</v>
      </c>
    </row>
    <row r="720" spans="1:10" hidden="1" x14ac:dyDescent="0.25">
      <c r="A720" t="s">
        <v>1254</v>
      </c>
      <c r="B720" t="s">
        <v>136</v>
      </c>
      <c r="C720" t="str">
        <f>_xlfn.TEXTJOIN(",",TRUE, Employee[[#This Row],[Last Name]], Employee[[#This Row],[First Name]])</f>
        <v>Hopkins, Lisa</v>
      </c>
      <c r="D720" t="s">
        <v>155</v>
      </c>
      <c r="E720" t="s">
        <v>1146</v>
      </c>
      <c r="F720" s="61">
        <v>41945</v>
      </c>
      <c r="G720">
        <v>2</v>
      </c>
      <c r="H720" t="s">
        <v>145</v>
      </c>
      <c r="I720" s="62">
        <v>107735</v>
      </c>
      <c r="J720">
        <v>1</v>
      </c>
    </row>
    <row r="721" spans="1:10" hidden="1" x14ac:dyDescent="0.25">
      <c r="A721" t="s">
        <v>1255</v>
      </c>
      <c r="B721" t="s">
        <v>425</v>
      </c>
      <c r="C721" t="str">
        <f>_xlfn.TEXTJOIN(",",TRUE, Employee[[#This Row],[Last Name]], Employee[[#This Row],[First Name]])</f>
        <v>Rose, Mark</v>
      </c>
      <c r="D721" t="s">
        <v>151</v>
      </c>
      <c r="E721" t="s">
        <v>1146</v>
      </c>
      <c r="F721" s="61">
        <v>42304</v>
      </c>
      <c r="G721">
        <v>1</v>
      </c>
      <c r="H721" t="s">
        <v>152</v>
      </c>
      <c r="I721" s="62">
        <v>58374</v>
      </c>
      <c r="J721">
        <v>3</v>
      </c>
    </row>
    <row r="722" spans="1:10" hidden="1" x14ac:dyDescent="0.25">
      <c r="A722" t="s">
        <v>1256</v>
      </c>
      <c r="B722" t="s">
        <v>398</v>
      </c>
      <c r="C722" t="str">
        <f>_xlfn.TEXTJOIN(",",TRUE, Employee[[#This Row],[Last Name]], Employee[[#This Row],[First Name]])</f>
        <v>Salinas, Jon</v>
      </c>
      <c r="D722" t="s">
        <v>155</v>
      </c>
      <c r="E722" t="s">
        <v>1146</v>
      </c>
      <c r="F722" s="61">
        <v>40477</v>
      </c>
      <c r="G722">
        <v>6</v>
      </c>
      <c r="H722" t="s">
        <v>185</v>
      </c>
      <c r="I722" s="62">
        <v>46272</v>
      </c>
      <c r="J722">
        <v>1</v>
      </c>
    </row>
    <row r="723" spans="1:10" x14ac:dyDescent="0.25">
      <c r="A723" t="s">
        <v>1257</v>
      </c>
      <c r="B723" t="s">
        <v>405</v>
      </c>
      <c r="C723" t="str">
        <f>_xlfn.TEXTJOIN(",",TRUE, Employee[[#This Row],[Last Name]], Employee[[#This Row],[First Name]])</f>
        <v>Gonzalez, David</v>
      </c>
      <c r="D723" t="s">
        <v>148</v>
      </c>
      <c r="E723" t="s">
        <v>1146</v>
      </c>
      <c r="F723" s="61">
        <v>37921</v>
      </c>
      <c r="G723">
        <v>13</v>
      </c>
      <c r="H723" t="s">
        <v>185</v>
      </c>
      <c r="I723" s="62">
        <v>121308</v>
      </c>
      <c r="J723">
        <v>3</v>
      </c>
    </row>
    <row r="724" spans="1:10" hidden="1" x14ac:dyDescent="0.25">
      <c r="A724" t="s">
        <v>1258</v>
      </c>
      <c r="B724" t="s">
        <v>488</v>
      </c>
      <c r="C724" t="str">
        <f>_xlfn.TEXTJOIN(",",TRUE, Employee[[#This Row],[Last Name]], Employee[[#This Row],[First Name]])</f>
        <v>Garcia, Karen</v>
      </c>
      <c r="D724" t="s">
        <v>161</v>
      </c>
      <c r="E724" t="s">
        <v>1146</v>
      </c>
      <c r="F724" s="61">
        <v>42340</v>
      </c>
      <c r="G724">
        <v>1</v>
      </c>
      <c r="H724" t="s">
        <v>142</v>
      </c>
      <c r="I724" s="62">
        <v>94823</v>
      </c>
      <c r="J724">
        <v>3</v>
      </c>
    </row>
    <row r="725" spans="1:10" hidden="1" x14ac:dyDescent="0.25">
      <c r="A725" t="s">
        <v>1259</v>
      </c>
      <c r="B725" t="s">
        <v>291</v>
      </c>
      <c r="C725" t="str">
        <f>_xlfn.TEXTJOIN(",",TRUE, Employee[[#This Row],[Last Name]], Employee[[#This Row],[First Name]])</f>
        <v>Klein, Robert</v>
      </c>
      <c r="D725" t="s">
        <v>161</v>
      </c>
      <c r="E725" t="s">
        <v>1146</v>
      </c>
      <c r="F725" s="61">
        <v>40862</v>
      </c>
      <c r="G725">
        <v>5</v>
      </c>
      <c r="H725" t="s">
        <v>139</v>
      </c>
      <c r="I725" s="62">
        <v>66256</v>
      </c>
      <c r="J725">
        <v>5</v>
      </c>
    </row>
    <row r="726" spans="1:10" hidden="1" x14ac:dyDescent="0.25">
      <c r="A726" t="s">
        <v>1260</v>
      </c>
      <c r="B726" t="s">
        <v>738</v>
      </c>
      <c r="C726" t="str">
        <f>_xlfn.TEXTJOIN(",",TRUE, Employee[[#This Row],[Last Name]], Employee[[#This Row],[First Name]])</f>
        <v>Sweeney, Barbara</v>
      </c>
      <c r="D726" t="s">
        <v>155</v>
      </c>
      <c r="E726" t="s">
        <v>1146</v>
      </c>
      <c r="F726" s="61">
        <v>40513</v>
      </c>
      <c r="G726">
        <v>6</v>
      </c>
      <c r="H726" t="s">
        <v>152</v>
      </c>
      <c r="I726" s="62">
        <v>124666</v>
      </c>
      <c r="J726">
        <v>5</v>
      </c>
    </row>
    <row r="727" spans="1:10" hidden="1" x14ac:dyDescent="0.25">
      <c r="A727" t="s">
        <v>1261</v>
      </c>
      <c r="B727" t="s">
        <v>481</v>
      </c>
      <c r="C727" t="str">
        <f>_xlfn.TEXTJOIN(",",TRUE, Employee[[#This Row],[Last Name]], Employee[[#This Row],[First Name]])</f>
        <v>Hart, Richard</v>
      </c>
      <c r="D727" t="s">
        <v>151</v>
      </c>
      <c r="E727" t="s">
        <v>1146</v>
      </c>
      <c r="F727" s="61">
        <v>40141</v>
      </c>
      <c r="G727">
        <v>7</v>
      </c>
      <c r="H727" t="s">
        <v>139</v>
      </c>
      <c r="I727" s="62">
        <v>66573</v>
      </c>
      <c r="J727">
        <v>4</v>
      </c>
    </row>
    <row r="728" spans="1:10" hidden="1" x14ac:dyDescent="0.25">
      <c r="A728" t="s">
        <v>1262</v>
      </c>
      <c r="B728" t="s">
        <v>726</v>
      </c>
      <c r="C728" t="str">
        <f>_xlfn.TEXTJOIN(",",TRUE, Employee[[#This Row],[Last Name]], Employee[[#This Row],[First Name]])</f>
        <v>McClure, Gary</v>
      </c>
      <c r="D728" t="s">
        <v>155</v>
      </c>
      <c r="E728" t="s">
        <v>1146</v>
      </c>
      <c r="F728" s="61">
        <v>39406</v>
      </c>
      <c r="G728">
        <v>9</v>
      </c>
      <c r="H728" t="s">
        <v>142</v>
      </c>
      <c r="I728" s="62">
        <v>100635</v>
      </c>
      <c r="J728">
        <v>4</v>
      </c>
    </row>
    <row r="729" spans="1:10" hidden="1" x14ac:dyDescent="0.25">
      <c r="A729" t="s">
        <v>1263</v>
      </c>
      <c r="B729" t="s">
        <v>1264</v>
      </c>
      <c r="C729" t="str">
        <f>_xlfn.TEXTJOIN(",",TRUE, Employee[[#This Row],[Last Name]], Employee[[#This Row],[First Name]])</f>
        <v>Lewis, Frederick</v>
      </c>
      <c r="D729" t="s">
        <v>137</v>
      </c>
      <c r="E729" t="s">
        <v>1146</v>
      </c>
      <c r="F729" s="61">
        <v>39425</v>
      </c>
      <c r="G729">
        <v>9</v>
      </c>
      <c r="H729" t="s">
        <v>185</v>
      </c>
      <c r="I729" s="62">
        <v>124180</v>
      </c>
      <c r="J729">
        <v>2</v>
      </c>
    </row>
    <row r="730" spans="1:10" hidden="1" x14ac:dyDescent="0.25">
      <c r="A730" t="s">
        <v>1265</v>
      </c>
      <c r="B730" t="s">
        <v>320</v>
      </c>
      <c r="C730" t="str">
        <f>_xlfn.TEXTJOIN(",",TRUE, Employee[[#This Row],[Last Name]], Employee[[#This Row],[First Name]])</f>
        <v>Henderson, Anthony</v>
      </c>
      <c r="D730" t="s">
        <v>178</v>
      </c>
      <c r="E730" t="s">
        <v>1146</v>
      </c>
      <c r="F730" s="61">
        <v>40519</v>
      </c>
      <c r="G730">
        <v>6</v>
      </c>
      <c r="H730" t="s">
        <v>142</v>
      </c>
      <c r="I730" s="62">
        <v>79440</v>
      </c>
      <c r="J730">
        <v>2</v>
      </c>
    </row>
    <row r="731" spans="1:10" hidden="1" x14ac:dyDescent="0.25">
      <c r="A731" t="s">
        <v>1266</v>
      </c>
      <c r="B731" t="s">
        <v>1267</v>
      </c>
      <c r="C731" t="str">
        <f>_xlfn.TEXTJOIN(",",TRUE, Employee[[#This Row],[Last Name]], Employee[[#This Row],[First Name]])</f>
        <v>Lester, Sherri</v>
      </c>
      <c r="D731" t="s">
        <v>155</v>
      </c>
      <c r="E731" t="s">
        <v>1146</v>
      </c>
      <c r="F731" s="61">
        <v>41601</v>
      </c>
      <c r="G731">
        <v>3</v>
      </c>
      <c r="H731" t="s">
        <v>145</v>
      </c>
      <c r="I731" s="62">
        <v>125922</v>
      </c>
      <c r="J731">
        <v>4</v>
      </c>
    </row>
    <row r="732" spans="1:10" hidden="1" x14ac:dyDescent="0.25">
      <c r="A732" t="s">
        <v>1268</v>
      </c>
      <c r="B732" t="s">
        <v>405</v>
      </c>
      <c r="C732" t="str">
        <f>_xlfn.TEXTJOIN(",",TRUE, Employee[[#This Row],[Last Name]], Employee[[#This Row],[First Name]])</f>
        <v>Webster, David</v>
      </c>
      <c r="D732" t="s">
        <v>151</v>
      </c>
      <c r="E732" t="s">
        <v>1146</v>
      </c>
      <c r="F732" s="61">
        <v>41614</v>
      </c>
      <c r="G732">
        <v>3</v>
      </c>
      <c r="H732" t="s">
        <v>185</v>
      </c>
      <c r="I732" s="62">
        <v>86894</v>
      </c>
      <c r="J732">
        <v>1</v>
      </c>
    </row>
    <row r="733" spans="1:10" x14ac:dyDescent="0.25">
      <c r="A733" t="s">
        <v>1269</v>
      </c>
      <c r="B733" t="s">
        <v>1270</v>
      </c>
      <c r="C733" t="str">
        <f>_xlfn.TEXTJOIN(",",TRUE, Employee[[#This Row],[Last Name]], Employee[[#This Row],[First Name]])</f>
        <v>Bailey, Victor</v>
      </c>
      <c r="D733" t="s">
        <v>151</v>
      </c>
      <c r="E733" t="s">
        <v>1271</v>
      </c>
      <c r="F733" s="61">
        <v>38762</v>
      </c>
      <c r="G733">
        <v>11</v>
      </c>
      <c r="H733" t="s">
        <v>185</v>
      </c>
      <c r="I733" s="62">
        <v>104593</v>
      </c>
      <c r="J733">
        <v>5</v>
      </c>
    </row>
    <row r="734" spans="1:10" x14ac:dyDescent="0.25">
      <c r="A734" t="s">
        <v>1272</v>
      </c>
      <c r="B734" t="s">
        <v>136</v>
      </c>
      <c r="C734" t="str">
        <f>_xlfn.TEXTJOIN(",",TRUE, Employee[[#This Row],[Last Name]], Employee[[#This Row],[First Name]])</f>
        <v>Montoya, Lisa</v>
      </c>
      <c r="D734" t="s">
        <v>161</v>
      </c>
      <c r="E734" t="s">
        <v>1271</v>
      </c>
      <c r="F734" s="61">
        <v>38069</v>
      </c>
      <c r="G734">
        <v>13</v>
      </c>
      <c r="H734" t="s">
        <v>139</v>
      </c>
      <c r="I734" s="62">
        <v>88072</v>
      </c>
      <c r="J734">
        <v>5</v>
      </c>
    </row>
    <row r="735" spans="1:10" hidden="1" x14ac:dyDescent="0.25">
      <c r="A735" t="s">
        <v>1273</v>
      </c>
      <c r="B735" t="s">
        <v>567</v>
      </c>
      <c r="C735" t="str">
        <f>_xlfn.TEXTJOIN(",",TRUE, Employee[[#This Row],[Last Name]], Employee[[#This Row],[First Name]])</f>
        <v>Dalton, Carol</v>
      </c>
      <c r="D735" t="s">
        <v>137</v>
      </c>
      <c r="E735" t="s">
        <v>1271</v>
      </c>
      <c r="F735" s="61">
        <v>41770</v>
      </c>
      <c r="G735">
        <v>3</v>
      </c>
      <c r="H735" t="s">
        <v>145</v>
      </c>
      <c r="I735" s="62">
        <v>66922</v>
      </c>
      <c r="J735">
        <v>4</v>
      </c>
    </row>
    <row r="736" spans="1:10" hidden="1" x14ac:dyDescent="0.25">
      <c r="A736" t="s">
        <v>1274</v>
      </c>
      <c r="B736" t="s">
        <v>291</v>
      </c>
      <c r="C736" t="str">
        <f>_xlfn.TEXTJOIN(",",TRUE, Employee[[#This Row],[Last Name]], Employee[[#This Row],[First Name]])</f>
        <v>Patterson, Robert</v>
      </c>
      <c r="D736" t="s">
        <v>161</v>
      </c>
      <c r="E736" t="s">
        <v>1271</v>
      </c>
      <c r="F736" s="61">
        <v>41797</v>
      </c>
      <c r="G736">
        <v>3</v>
      </c>
      <c r="H736" t="s">
        <v>145</v>
      </c>
      <c r="I736" s="62">
        <v>119199</v>
      </c>
      <c r="J736">
        <v>4</v>
      </c>
    </row>
    <row r="737" spans="1:10" x14ac:dyDescent="0.25">
      <c r="A737" t="s">
        <v>1275</v>
      </c>
      <c r="B737" t="s">
        <v>998</v>
      </c>
      <c r="C737" t="str">
        <f>_xlfn.TEXTJOIN(",",TRUE, Employee[[#This Row],[Last Name]], Employee[[#This Row],[First Name]])</f>
        <v>Leblanc, Jenny</v>
      </c>
      <c r="D737" t="s">
        <v>137</v>
      </c>
      <c r="E737" t="s">
        <v>1271</v>
      </c>
      <c r="F737" s="61">
        <v>38151</v>
      </c>
      <c r="G737">
        <v>13</v>
      </c>
      <c r="H737" t="s">
        <v>168</v>
      </c>
      <c r="I737" s="62">
        <v>61387</v>
      </c>
      <c r="J737">
        <v>5</v>
      </c>
    </row>
    <row r="738" spans="1:10" hidden="1" x14ac:dyDescent="0.25">
      <c r="A738" t="s">
        <v>1276</v>
      </c>
      <c r="B738" t="s">
        <v>1277</v>
      </c>
      <c r="C738" t="str">
        <f>_xlfn.TEXTJOIN(",",TRUE, Employee[[#This Row],[Last Name]], Employee[[#This Row],[First Name]])</f>
        <v>Olsen, Ewan</v>
      </c>
      <c r="D738" t="s">
        <v>155</v>
      </c>
      <c r="E738" t="s">
        <v>1278</v>
      </c>
      <c r="F738" s="61">
        <v>40194</v>
      </c>
      <c r="G738">
        <v>7</v>
      </c>
      <c r="H738" t="s">
        <v>145</v>
      </c>
      <c r="I738" s="62">
        <v>126954</v>
      </c>
      <c r="J738">
        <v>2</v>
      </c>
    </row>
    <row r="739" spans="1:10" x14ac:dyDescent="0.25">
      <c r="A739" t="s">
        <v>1279</v>
      </c>
      <c r="B739" t="s">
        <v>571</v>
      </c>
      <c r="C739" t="str">
        <f>_xlfn.TEXTJOIN(",",TRUE, Employee[[#This Row],[Last Name]], Employee[[#This Row],[First Name]])</f>
        <v>Green, Kim</v>
      </c>
      <c r="D739" t="s">
        <v>151</v>
      </c>
      <c r="E739" t="s">
        <v>1278</v>
      </c>
      <c r="F739" s="61">
        <v>37635</v>
      </c>
      <c r="G739">
        <v>14</v>
      </c>
      <c r="H739" t="s">
        <v>139</v>
      </c>
      <c r="I739" s="62">
        <v>54080</v>
      </c>
      <c r="J739">
        <v>2</v>
      </c>
    </row>
    <row r="740" spans="1:10" hidden="1" x14ac:dyDescent="0.25">
      <c r="A740" t="s">
        <v>1280</v>
      </c>
      <c r="B740" t="s">
        <v>1281</v>
      </c>
      <c r="C740" t="str">
        <f>_xlfn.TEXTJOIN(",",TRUE, Employee[[#This Row],[Last Name]], Employee[[#This Row],[First Name]])</f>
        <v>Bradshaw, Sheryl</v>
      </c>
      <c r="D740" t="s">
        <v>155</v>
      </c>
      <c r="E740" t="s">
        <v>1278</v>
      </c>
      <c r="F740" s="61">
        <v>40717</v>
      </c>
      <c r="G740">
        <v>6</v>
      </c>
      <c r="H740" t="s">
        <v>145</v>
      </c>
      <c r="I740" s="62">
        <v>122888</v>
      </c>
      <c r="J740">
        <v>5</v>
      </c>
    </row>
    <row r="741" spans="1:10" hidden="1" x14ac:dyDescent="0.25">
      <c r="A741" t="s">
        <v>1282</v>
      </c>
      <c r="B741" t="s">
        <v>405</v>
      </c>
      <c r="C741" t="str">
        <f>_xlfn.TEXTJOIN(",",TRUE, Employee[[#This Row],[Last Name]], Employee[[#This Row],[First Name]])</f>
        <v>Riley, David</v>
      </c>
      <c r="D741" t="s">
        <v>148</v>
      </c>
      <c r="E741" t="s">
        <v>1278</v>
      </c>
      <c r="F741" s="61">
        <v>41462</v>
      </c>
      <c r="G741">
        <v>4</v>
      </c>
      <c r="H741" t="s">
        <v>139</v>
      </c>
      <c r="I741" s="62">
        <v>110404</v>
      </c>
      <c r="J741">
        <v>1</v>
      </c>
    </row>
    <row r="742" spans="1:10" hidden="1" x14ac:dyDescent="0.25">
      <c r="A742" t="s">
        <v>1283</v>
      </c>
      <c r="B742" t="s">
        <v>946</v>
      </c>
      <c r="C742" t="str">
        <f>_xlfn.TEXTJOIN(",",TRUE, Employee[[#This Row],[Last Name]], Employee[[#This Row],[First Name]])</f>
        <v>Flynn, Melissa</v>
      </c>
      <c r="D742" t="s">
        <v>151</v>
      </c>
      <c r="E742" t="s">
        <v>1278</v>
      </c>
      <c r="F742" s="61">
        <v>41621</v>
      </c>
      <c r="G742">
        <v>3</v>
      </c>
      <c r="H742" t="s">
        <v>145</v>
      </c>
      <c r="I742" s="62">
        <v>90253</v>
      </c>
      <c r="J742">
        <v>1</v>
      </c>
    </row>
  </sheetData>
  <conditionalFormatting sqref="I1:I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{E9D1258F-5489-4C41-8B8B-4AF1EB184D1C}</x14:id>
        </ext>
      </extLst>
    </cfRule>
  </conditionalFormatting>
  <conditionalFormatting sqref="J2:J742">
    <cfRule type="cellIs" dxfId="6" priority="2" operator="equal">
      <formula>1</formula>
    </cfRule>
  </conditionalFormatting>
  <pageMargins left="0.7" right="0.7" top="0.75" bottom="0.75" header="0.3" footer="0.3"/>
  <pageSetup scale="77" orientation="portrait" r:id="rId1"/>
  <colBreaks count="1" manualBreakCount="1">
    <brk id="10" max="1048575" man="1"/>
  </col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D1258F-5489-4C41-8B8B-4AF1EB184D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4B64-89A8-4645-9532-D692D4585B09}">
  <dimension ref="A1:G35"/>
  <sheetViews>
    <sheetView tabSelected="1" zoomScale="90" zoomScaleNormal="90" workbookViewId="0">
      <selection activeCell="T16" sqref="T16"/>
    </sheetView>
  </sheetViews>
  <sheetFormatPr defaultRowHeight="15" x14ac:dyDescent="0.2"/>
  <cols>
    <col min="1" max="1" width="28.140625" style="38" bestFit="1" customWidth="1"/>
    <col min="2" max="2" width="29.42578125" style="38" customWidth="1"/>
    <col min="3" max="3" width="16.7109375" style="38" customWidth="1"/>
    <col min="4" max="6" width="10" style="38" customWidth="1"/>
    <col min="7" max="7" width="28.140625" style="38" customWidth="1"/>
    <col min="8" max="16384" width="9.140625" style="38"/>
  </cols>
  <sheetData>
    <row r="1" spans="1:7" ht="15" customHeight="1" x14ac:dyDescent="0.2">
      <c r="A1" s="75" t="s">
        <v>72</v>
      </c>
      <c r="B1" s="75"/>
      <c r="C1" s="75"/>
      <c r="D1" s="75"/>
      <c r="E1" s="75"/>
      <c r="F1" s="75"/>
      <c r="G1" s="75"/>
    </row>
    <row r="2" spans="1:7" ht="15" customHeight="1" x14ac:dyDescent="0.2">
      <c r="A2" s="75"/>
      <c r="B2" s="75"/>
      <c r="C2" s="75"/>
      <c r="D2" s="75"/>
      <c r="E2" s="75"/>
      <c r="F2" s="75"/>
      <c r="G2" s="75"/>
    </row>
    <row r="3" spans="1:7" ht="15" customHeight="1" x14ac:dyDescent="0.2">
      <c r="A3" s="75"/>
      <c r="B3" s="75"/>
      <c r="C3" s="75"/>
      <c r="D3" s="75"/>
      <c r="E3" s="75"/>
      <c r="F3" s="75"/>
      <c r="G3" s="75"/>
    </row>
    <row r="4" spans="1:7" x14ac:dyDescent="0.2">
      <c r="A4" s="75"/>
      <c r="B4" s="75"/>
      <c r="C4" s="75"/>
      <c r="D4" s="75"/>
      <c r="E4" s="75"/>
      <c r="F4" s="75"/>
      <c r="G4" s="75"/>
    </row>
    <row r="5" spans="1:7" ht="43.5" customHeight="1" x14ac:dyDescent="0.4">
      <c r="A5" s="76" t="s">
        <v>73</v>
      </c>
      <c r="B5" s="76"/>
      <c r="C5" s="76"/>
      <c r="D5" s="76"/>
      <c r="E5" s="76"/>
      <c r="F5" s="76"/>
      <c r="G5" s="76"/>
    </row>
    <row r="6" spans="1:7" ht="19.5" customHeight="1" x14ac:dyDescent="0.2">
      <c r="A6" s="56" t="s">
        <v>74</v>
      </c>
      <c r="B6" s="56" t="s">
        <v>75</v>
      </c>
      <c r="C6" s="56" t="s">
        <v>52</v>
      </c>
      <c r="D6" s="56" t="s">
        <v>76</v>
      </c>
      <c r="E6" s="56" t="s">
        <v>77</v>
      </c>
      <c r="F6" s="56" t="s">
        <v>33</v>
      </c>
      <c r="G6" s="56" t="s">
        <v>78</v>
      </c>
    </row>
    <row r="7" spans="1:7" ht="15.75" x14ac:dyDescent="0.25">
      <c r="A7" s="38" t="s">
        <v>79</v>
      </c>
      <c r="B7" s="38" t="s">
        <v>80</v>
      </c>
      <c r="C7" s="38" t="s">
        <v>81</v>
      </c>
      <c r="D7" t="str">
        <f>LEFT(B7, 3)</f>
        <v>Nel</v>
      </c>
      <c r="E7" t="str">
        <f>RIGHT(A7, 5)</f>
        <v>stant</v>
      </c>
      <c r="F7">
        <f>LEN(B7)</f>
        <v>10</v>
      </c>
      <c r="G7" t="str">
        <f>_xlfn.CONCAT(D7, E7, F7)</f>
        <v>Nelstant10</v>
      </c>
    </row>
    <row r="8" spans="1:7" ht="15.75" x14ac:dyDescent="0.25">
      <c r="A8" s="38" t="s">
        <v>82</v>
      </c>
      <c r="B8" s="38" t="s">
        <v>83</v>
      </c>
      <c r="C8" s="38" t="s">
        <v>81</v>
      </c>
      <c r="D8" t="str">
        <f t="shared" ref="D8:D35" si="0">LEFT(B8, 3)</f>
        <v>Rol</v>
      </c>
      <c r="E8" t="str">
        <f t="shared" ref="E8:E35" si="1">RIGHT(A8, 5)</f>
        <v>aster</v>
      </c>
      <c r="F8">
        <f t="shared" ref="F8:F35" si="2">LEN(B8)</f>
        <v>11</v>
      </c>
      <c r="G8" t="str">
        <f t="shared" ref="G8:G35" si="3">_xlfn.CONCAT(D8, E8, F8)</f>
        <v>Rolaster11</v>
      </c>
    </row>
    <row r="9" spans="1:7" ht="15.75" x14ac:dyDescent="0.25">
      <c r="A9" s="38" t="s">
        <v>84</v>
      </c>
      <c r="B9" s="38" t="s">
        <v>85</v>
      </c>
      <c r="C9" s="38" t="s">
        <v>81</v>
      </c>
      <c r="D9" t="str">
        <f t="shared" si="0"/>
        <v>Bob</v>
      </c>
      <c r="E9" t="str">
        <f t="shared" si="1"/>
        <v>selor</v>
      </c>
      <c r="F9">
        <f t="shared" si="2"/>
        <v>10</v>
      </c>
      <c r="G9" t="str">
        <f t="shared" si="3"/>
        <v>Bobselor10</v>
      </c>
    </row>
    <row r="10" spans="1:7" ht="15.75" x14ac:dyDescent="0.25">
      <c r="A10" s="38" t="s">
        <v>84</v>
      </c>
      <c r="B10" s="38" t="s">
        <v>86</v>
      </c>
      <c r="C10" s="38" t="s">
        <v>81</v>
      </c>
      <c r="D10" t="str">
        <f t="shared" si="0"/>
        <v>Lau</v>
      </c>
      <c r="E10" t="str">
        <f t="shared" si="1"/>
        <v>selor</v>
      </c>
      <c r="F10">
        <f t="shared" si="2"/>
        <v>12</v>
      </c>
      <c r="G10" t="str">
        <f t="shared" si="3"/>
        <v>Lauselor12</v>
      </c>
    </row>
    <row r="11" spans="1:7" ht="15.75" x14ac:dyDescent="0.25">
      <c r="A11" s="38" t="s">
        <v>84</v>
      </c>
      <c r="B11" s="38" t="s">
        <v>87</v>
      </c>
      <c r="C11" s="38" t="s">
        <v>81</v>
      </c>
      <c r="D11" t="str">
        <f t="shared" si="0"/>
        <v>Tri</v>
      </c>
      <c r="E11" t="str">
        <f t="shared" si="1"/>
        <v>selor</v>
      </c>
      <c r="F11">
        <f t="shared" si="2"/>
        <v>17</v>
      </c>
      <c r="G11" t="str">
        <f t="shared" si="3"/>
        <v>Triselor17</v>
      </c>
    </row>
    <row r="12" spans="1:7" ht="15.75" x14ac:dyDescent="0.25">
      <c r="A12" s="38" t="s">
        <v>84</v>
      </c>
      <c r="B12" s="38" t="s">
        <v>88</v>
      </c>
      <c r="C12" s="38" t="s">
        <v>81</v>
      </c>
      <c r="D12" t="str">
        <f t="shared" si="0"/>
        <v>Six</v>
      </c>
      <c r="E12" t="str">
        <f t="shared" si="1"/>
        <v>selor</v>
      </c>
      <c r="F12">
        <f t="shared" si="2"/>
        <v>12</v>
      </c>
      <c r="G12" t="str">
        <f t="shared" si="3"/>
        <v>Sixselor12</v>
      </c>
    </row>
    <row r="13" spans="1:7" ht="15.75" x14ac:dyDescent="0.25">
      <c r="A13" s="38" t="s">
        <v>84</v>
      </c>
      <c r="B13" s="38" t="s">
        <v>89</v>
      </c>
      <c r="C13" s="38" t="s">
        <v>81</v>
      </c>
      <c r="D13" t="str">
        <f t="shared" si="0"/>
        <v>Sha</v>
      </c>
      <c r="E13" t="str">
        <f t="shared" si="1"/>
        <v>selor</v>
      </c>
      <c r="F13">
        <f t="shared" si="2"/>
        <v>15</v>
      </c>
      <c r="G13" t="str">
        <f t="shared" si="3"/>
        <v>Shaselor15</v>
      </c>
    </row>
    <row r="14" spans="1:7" ht="15.75" x14ac:dyDescent="0.25">
      <c r="A14" s="38" t="s">
        <v>90</v>
      </c>
      <c r="B14" s="38" t="s">
        <v>91</v>
      </c>
      <c r="C14" s="38" t="s">
        <v>81</v>
      </c>
      <c r="D14" t="str">
        <f t="shared" si="0"/>
        <v>Den</v>
      </c>
      <c r="E14" t="str">
        <f t="shared" si="1"/>
        <v>aster</v>
      </c>
      <c r="F14">
        <f t="shared" si="2"/>
        <v>15</v>
      </c>
      <c r="G14" t="str">
        <f t="shared" si="3"/>
        <v>Denaster15</v>
      </c>
    </row>
    <row r="15" spans="1:7" ht="15.75" x14ac:dyDescent="0.25">
      <c r="A15" s="38" t="s">
        <v>92</v>
      </c>
      <c r="B15" s="38" t="s">
        <v>93</v>
      </c>
      <c r="C15" s="38" t="s">
        <v>81</v>
      </c>
      <c r="D15" t="str">
        <f t="shared" si="0"/>
        <v>Rub</v>
      </c>
      <c r="E15" t="str">
        <f t="shared" si="1"/>
        <v>orial</v>
      </c>
      <c r="F15">
        <f t="shared" si="2"/>
        <v>15</v>
      </c>
      <c r="G15" t="str">
        <f t="shared" si="3"/>
        <v>Ruborial15</v>
      </c>
    </row>
    <row r="16" spans="1:7" ht="15.75" x14ac:dyDescent="0.25">
      <c r="A16" s="38" t="s">
        <v>92</v>
      </c>
      <c r="B16" s="38" t="s">
        <v>94</v>
      </c>
      <c r="C16" s="38" t="s">
        <v>81</v>
      </c>
      <c r="D16" t="str">
        <f t="shared" si="0"/>
        <v>Fan</v>
      </c>
      <c r="E16" t="str">
        <f t="shared" si="1"/>
        <v>orial</v>
      </c>
      <c r="F16">
        <f t="shared" si="2"/>
        <v>14</v>
      </c>
      <c r="G16" t="str">
        <f t="shared" si="3"/>
        <v>Fanorial14</v>
      </c>
    </row>
    <row r="17" spans="1:7" ht="15.75" x14ac:dyDescent="0.25">
      <c r="A17" s="38" t="s">
        <v>95</v>
      </c>
      <c r="B17" s="38" t="s">
        <v>96</v>
      </c>
      <c r="C17" s="38" t="s">
        <v>81</v>
      </c>
      <c r="D17" t="str">
        <f t="shared" si="0"/>
        <v>Lua</v>
      </c>
      <c r="E17" t="str">
        <f t="shared" si="1"/>
        <v>Nurse</v>
      </c>
      <c r="F17">
        <f t="shared" si="2"/>
        <v>10</v>
      </c>
      <c r="G17" t="str">
        <f t="shared" si="3"/>
        <v>LuaNurse10</v>
      </c>
    </row>
    <row r="18" spans="1:7" ht="15.75" x14ac:dyDescent="0.25">
      <c r="A18" s="38" t="s">
        <v>97</v>
      </c>
      <c r="B18" s="38" t="s">
        <v>98</v>
      </c>
      <c r="C18" s="38" t="s">
        <v>81</v>
      </c>
      <c r="D18" t="str">
        <f t="shared" si="0"/>
        <v>Dor</v>
      </c>
      <c r="E18" t="str">
        <f t="shared" si="1"/>
        <v>etary</v>
      </c>
      <c r="F18">
        <f t="shared" si="2"/>
        <v>13</v>
      </c>
      <c r="G18" t="str">
        <f t="shared" si="3"/>
        <v>Doretary13</v>
      </c>
    </row>
    <row r="19" spans="1:7" ht="15.75" x14ac:dyDescent="0.25">
      <c r="A19" s="38" t="s">
        <v>97</v>
      </c>
      <c r="B19" s="38" t="s">
        <v>99</v>
      </c>
      <c r="C19" s="38" t="s">
        <v>81</v>
      </c>
      <c r="D19" t="str">
        <f t="shared" si="0"/>
        <v>Gay</v>
      </c>
      <c r="E19" t="str">
        <f t="shared" si="1"/>
        <v>etary</v>
      </c>
      <c r="F19">
        <f t="shared" si="2"/>
        <v>14</v>
      </c>
      <c r="G19" t="str">
        <f t="shared" si="3"/>
        <v>Gayetary14</v>
      </c>
    </row>
    <row r="20" spans="1:7" ht="15.75" x14ac:dyDescent="0.25">
      <c r="A20" s="38" t="s">
        <v>97</v>
      </c>
      <c r="B20" s="38" t="s">
        <v>100</v>
      </c>
      <c r="C20" s="38" t="s">
        <v>81</v>
      </c>
      <c r="D20" t="str">
        <f t="shared" si="0"/>
        <v>Rox</v>
      </c>
      <c r="E20" t="str">
        <f t="shared" si="1"/>
        <v>etary</v>
      </c>
      <c r="F20">
        <f t="shared" si="2"/>
        <v>12</v>
      </c>
      <c r="G20" t="str">
        <f t="shared" si="3"/>
        <v>Roxetary12</v>
      </c>
    </row>
    <row r="21" spans="1:7" ht="15.75" x14ac:dyDescent="0.25">
      <c r="A21" s="38" t="s">
        <v>97</v>
      </c>
      <c r="B21" s="38" t="s">
        <v>101</v>
      </c>
      <c r="C21" s="38" t="s">
        <v>81</v>
      </c>
      <c r="D21" t="str">
        <f t="shared" si="0"/>
        <v>Ver</v>
      </c>
      <c r="E21" t="str">
        <f t="shared" si="1"/>
        <v>etary</v>
      </c>
      <c r="F21">
        <f t="shared" si="2"/>
        <v>11</v>
      </c>
      <c r="G21" t="str">
        <f t="shared" si="3"/>
        <v>Veretary11</v>
      </c>
    </row>
    <row r="22" spans="1:7" ht="15.75" x14ac:dyDescent="0.25">
      <c r="A22" s="38" t="s">
        <v>102</v>
      </c>
      <c r="B22" s="38" t="s">
        <v>103</v>
      </c>
      <c r="C22" s="38" t="s">
        <v>104</v>
      </c>
      <c r="D22" t="str">
        <f t="shared" si="0"/>
        <v>Abr</v>
      </c>
      <c r="E22" t="str">
        <f t="shared" si="1"/>
        <v>ector</v>
      </c>
      <c r="F22">
        <f t="shared" si="2"/>
        <v>14</v>
      </c>
      <c r="G22" t="str">
        <f t="shared" si="3"/>
        <v>Abrector14</v>
      </c>
    </row>
    <row r="23" spans="1:7" ht="15.75" x14ac:dyDescent="0.25">
      <c r="A23" s="38" t="s">
        <v>105</v>
      </c>
      <c r="B23" s="38" t="s">
        <v>106</v>
      </c>
      <c r="C23" s="38" t="s">
        <v>104</v>
      </c>
      <c r="D23" t="str">
        <f t="shared" si="0"/>
        <v>Kar</v>
      </c>
      <c r="E23" t="str">
        <f t="shared" si="1"/>
        <v>Coach</v>
      </c>
      <c r="F23">
        <f t="shared" si="2"/>
        <v>12</v>
      </c>
      <c r="G23" t="str">
        <f t="shared" si="3"/>
        <v>KarCoach12</v>
      </c>
    </row>
    <row r="24" spans="1:7" ht="15.75" x14ac:dyDescent="0.25">
      <c r="A24" s="38" t="s">
        <v>105</v>
      </c>
      <c r="B24" s="38" t="s">
        <v>107</v>
      </c>
      <c r="C24" s="38" t="s">
        <v>104</v>
      </c>
      <c r="D24" t="str">
        <f t="shared" si="0"/>
        <v>Mad</v>
      </c>
      <c r="E24" t="str">
        <f t="shared" si="1"/>
        <v>Coach</v>
      </c>
      <c r="F24">
        <f t="shared" si="2"/>
        <v>13</v>
      </c>
      <c r="G24" t="str">
        <f t="shared" si="3"/>
        <v>MadCoach13</v>
      </c>
    </row>
    <row r="25" spans="1:7" ht="15.75" x14ac:dyDescent="0.25">
      <c r="A25" s="38" t="s">
        <v>105</v>
      </c>
      <c r="B25" s="38" t="s">
        <v>108</v>
      </c>
      <c r="C25" s="38" t="s">
        <v>104</v>
      </c>
      <c r="D25" t="str">
        <f t="shared" si="0"/>
        <v>Kat</v>
      </c>
      <c r="E25" t="str">
        <f t="shared" si="1"/>
        <v>Coach</v>
      </c>
      <c r="F25">
        <f t="shared" si="2"/>
        <v>17</v>
      </c>
      <c r="G25" t="str">
        <f t="shared" si="3"/>
        <v>KatCoach17</v>
      </c>
    </row>
    <row r="26" spans="1:7" ht="15.75" x14ac:dyDescent="0.25">
      <c r="A26" s="38" t="s">
        <v>105</v>
      </c>
      <c r="B26" s="38" t="s">
        <v>109</v>
      </c>
      <c r="C26" s="38" t="s">
        <v>104</v>
      </c>
      <c r="D26" t="str">
        <f t="shared" si="0"/>
        <v>Sam</v>
      </c>
      <c r="E26" t="str">
        <f t="shared" si="1"/>
        <v>Coach</v>
      </c>
      <c r="F26">
        <f t="shared" si="2"/>
        <v>16</v>
      </c>
      <c r="G26" t="str">
        <f t="shared" si="3"/>
        <v>SamCoach16</v>
      </c>
    </row>
    <row r="27" spans="1:7" ht="15.75" x14ac:dyDescent="0.25">
      <c r="A27" s="38" t="s">
        <v>110</v>
      </c>
      <c r="B27" s="38" t="s">
        <v>111</v>
      </c>
      <c r="C27" s="38" t="s">
        <v>112</v>
      </c>
      <c r="D27" t="str">
        <f t="shared" si="0"/>
        <v>Ill</v>
      </c>
      <c r="E27" t="str">
        <f t="shared" si="1"/>
        <v>ustee</v>
      </c>
      <c r="F27">
        <f t="shared" si="2"/>
        <v>12</v>
      </c>
      <c r="G27" t="str">
        <f t="shared" si="3"/>
        <v>Illustee12</v>
      </c>
    </row>
    <row r="28" spans="1:7" ht="15.75" x14ac:dyDescent="0.25">
      <c r="A28" s="38" t="s">
        <v>110</v>
      </c>
      <c r="B28" s="38" t="s">
        <v>113</v>
      </c>
      <c r="C28" s="38" t="s">
        <v>112</v>
      </c>
      <c r="D28" t="str">
        <f t="shared" si="0"/>
        <v>Gil</v>
      </c>
      <c r="E28" t="str">
        <f t="shared" si="1"/>
        <v>ustee</v>
      </c>
      <c r="F28">
        <f t="shared" si="2"/>
        <v>8</v>
      </c>
      <c r="G28" t="str">
        <f t="shared" si="3"/>
        <v>Gilustee8</v>
      </c>
    </row>
    <row r="29" spans="1:7" ht="15.75" x14ac:dyDescent="0.25">
      <c r="A29" s="38" t="s">
        <v>110</v>
      </c>
      <c r="B29" s="38" t="s">
        <v>114</v>
      </c>
      <c r="C29" s="38" t="s">
        <v>112</v>
      </c>
      <c r="D29" t="str">
        <f t="shared" si="0"/>
        <v>Jes</v>
      </c>
      <c r="E29" t="str">
        <f t="shared" si="1"/>
        <v>ustee</v>
      </c>
      <c r="F29">
        <f t="shared" si="2"/>
        <v>17</v>
      </c>
      <c r="G29" t="str">
        <f t="shared" si="3"/>
        <v>Jesustee17</v>
      </c>
    </row>
    <row r="30" spans="1:7" ht="15.75" x14ac:dyDescent="0.25">
      <c r="A30" s="38" t="s">
        <v>110</v>
      </c>
      <c r="B30" s="38" t="s">
        <v>115</v>
      </c>
      <c r="C30" s="38" t="s">
        <v>112</v>
      </c>
      <c r="D30" t="str">
        <f t="shared" si="0"/>
        <v>Cha</v>
      </c>
      <c r="E30" t="str">
        <f t="shared" si="1"/>
        <v>ustee</v>
      </c>
      <c r="F30">
        <f t="shared" si="2"/>
        <v>15</v>
      </c>
      <c r="G30" t="str">
        <f t="shared" si="3"/>
        <v>Chaustee15</v>
      </c>
    </row>
    <row r="31" spans="1:7" ht="15.75" x14ac:dyDescent="0.25">
      <c r="A31" s="38" t="s">
        <v>116</v>
      </c>
      <c r="B31" s="38" t="s">
        <v>117</v>
      </c>
      <c r="C31" s="38" t="s">
        <v>118</v>
      </c>
      <c r="D31" t="str">
        <f t="shared" si="0"/>
        <v>Mar</v>
      </c>
      <c r="E31" t="str">
        <f t="shared" si="1"/>
        <v>ation</v>
      </c>
      <c r="F31">
        <f t="shared" si="2"/>
        <v>15</v>
      </c>
      <c r="G31" t="str">
        <f t="shared" si="3"/>
        <v>Maration15</v>
      </c>
    </row>
    <row r="32" spans="1:7" ht="15.75" x14ac:dyDescent="0.25">
      <c r="A32" s="38" t="s">
        <v>119</v>
      </c>
      <c r="B32" s="38" t="s">
        <v>120</v>
      </c>
      <c r="C32" s="38" t="s">
        <v>118</v>
      </c>
      <c r="D32" t="str">
        <f t="shared" si="0"/>
        <v>Ole</v>
      </c>
      <c r="E32" t="str">
        <f t="shared" si="1"/>
        <v>tiles</v>
      </c>
      <c r="F32">
        <f t="shared" si="2"/>
        <v>17</v>
      </c>
      <c r="G32" t="str">
        <f t="shared" si="3"/>
        <v>Oletiles17</v>
      </c>
    </row>
    <row r="33" spans="1:7" ht="15.75" x14ac:dyDescent="0.25">
      <c r="A33" s="38" t="s">
        <v>121</v>
      </c>
      <c r="B33" s="38" t="s">
        <v>122</v>
      </c>
      <c r="C33" s="38" t="s">
        <v>118</v>
      </c>
      <c r="D33" t="str">
        <f t="shared" si="0"/>
        <v>Cla</v>
      </c>
      <c r="E33" t="str">
        <f t="shared" si="1"/>
        <v>lture</v>
      </c>
      <c r="F33">
        <f t="shared" si="2"/>
        <v>13</v>
      </c>
      <c r="G33" t="str">
        <f t="shared" si="3"/>
        <v>Clalture13</v>
      </c>
    </row>
    <row r="34" spans="1:7" ht="15.75" x14ac:dyDescent="0.25">
      <c r="A34" s="38" t="s">
        <v>123</v>
      </c>
      <c r="B34" s="38" t="s">
        <v>124</v>
      </c>
      <c r="C34" s="38" t="s">
        <v>118</v>
      </c>
      <c r="D34" t="str">
        <f t="shared" si="0"/>
        <v>Jus</v>
      </c>
      <c r="E34" t="str">
        <f t="shared" si="1"/>
        <v>esign</v>
      </c>
      <c r="F34">
        <f t="shared" si="2"/>
        <v>15</v>
      </c>
      <c r="G34" t="str">
        <f t="shared" si="3"/>
        <v>Jusesign15</v>
      </c>
    </row>
    <row r="35" spans="1:7" ht="15.75" x14ac:dyDescent="0.25">
      <c r="A35" s="38" t="s">
        <v>125</v>
      </c>
      <c r="B35" s="38" t="s">
        <v>126</v>
      </c>
      <c r="C35" s="38" t="s">
        <v>118</v>
      </c>
      <c r="D35" t="str">
        <f t="shared" si="0"/>
        <v>Bee</v>
      </c>
      <c r="E35" t="str">
        <f t="shared" si="1"/>
        <v>raphy</v>
      </c>
      <c r="F35">
        <f t="shared" si="2"/>
        <v>11</v>
      </c>
      <c r="G35" t="str">
        <f t="shared" si="3"/>
        <v>Beeraphy11</v>
      </c>
    </row>
  </sheetData>
  <mergeCells count="2">
    <mergeCell ref="A1:G4"/>
    <mergeCell ref="A5:G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enna xmlns="http://customxml.org">
  <kers>KnFJSW1EfEFGdE37PRDs6ZwrYVjEi9Rk</kers>
  <massa>10/18/2017 5:17:16 PM</massa>
  <hamilton>False</hamilton>
</senna>
</file>

<file path=customXml/item2.xml>��
</file>

<file path=customXml/itemProps1.xml><?xml version="1.0" encoding="utf-8"?>
<ds:datastoreItem xmlns:ds="http://schemas.openxmlformats.org/officeDocument/2006/customXml" ds:itemID="{D696F8AA-24BB-4745-86CC-9E009DE6B97D}">
  <ds:schemaRefs>
    <ds:schemaRef ds:uri="http://customxml.org"/>
  </ds:schemaRefs>
</ds:datastoreItem>
</file>

<file path=customXml/itemProps2.xml><?xml version="1.0" encoding="utf-8"?>
<ds:datastoreItem xmlns:ds="http://schemas.openxmlformats.org/officeDocument/2006/customXml" ds:itemID="{4A91AEB9-B87D-4B4D-9DCF-F8B7F500EE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Instructions</vt:lpstr>
      <vt:lpstr>Project 1</vt:lpstr>
      <vt:lpstr>Project 2</vt:lpstr>
      <vt:lpstr>Project 3</vt:lpstr>
      <vt:lpstr>Project 4</vt:lpstr>
      <vt:lpstr>Project 5</vt:lpstr>
      <vt:lpstr>Project 6</vt:lpstr>
      <vt:lpstr>Project 7</vt:lpstr>
      <vt:lpstr>Column Chart</vt:lpstr>
      <vt:lpstr>'Project 6'!Print_Titles</vt:lpstr>
    </vt:vector>
  </TitlesOfParts>
  <Manager>Tracey Johnson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MOS Practice Exam 1</dc:title>
  <dc:subject/>
  <dc:creator>Promise Beshel</dc:creator>
  <cp:lastModifiedBy>Promise Beshel</cp:lastModifiedBy>
  <cp:lastPrinted>2025-11-27T08:32:33Z</cp:lastPrinted>
  <dcterms:created xsi:type="dcterms:W3CDTF">2025-11-27T07:05:25Z</dcterms:created>
  <dcterms:modified xsi:type="dcterms:W3CDTF">2025-11-27T08:46:21Z</dcterms:modified>
  <cp:contentStatus/>
</cp:coreProperties>
</file>