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BYU ENSIGN\BAP115.001\Final Capstone Project\"/>
    </mc:Choice>
  </mc:AlternateContent>
  <xr:revisionPtr revIDLastSave="0" documentId="13_ncr:1_{E5885395-60B0-465C-A2EE-5260D9C59E53}" xr6:coauthVersionLast="47" xr6:coauthVersionMax="47" xr10:uidLastSave="{00000000-0000-0000-0000-000000000000}"/>
  <bookViews>
    <workbookView xWindow="10215" yWindow="0" windowWidth="10275" windowHeight="11520" tabRatio="827" activeTab="1" xr2:uid="{00000000-000D-0000-FFFF-FFFF00000000}"/>
  </bookViews>
  <sheets>
    <sheet name="MobileSales" sheetId="9" r:id="rId1"/>
    <sheet name="TruckLoan" sheetId="11" r:id="rId2"/>
    <sheet name="OnlineSales" sheetId="1" r:id="rId3"/>
    <sheet name="BOGOSale2018" sheetId="5" state="hidden" r:id="rId4"/>
    <sheet name="TysonsStore2021" sheetId="3" r:id="rId5"/>
    <sheet name="TysonsStore2018" sheetId="4" state="hidden" r:id="rId6"/>
    <sheet name="OldTownStore" sheetId="6" r:id="rId7"/>
    <sheet name="Customers" sheetId="12" r:id="rId8"/>
  </sheets>
  <externalReferences>
    <externalReference r:id="rId9"/>
  </externalReferences>
  <definedNames>
    <definedName name="DailySales">TysonsStore2021!$F$2:$F$32</definedName>
    <definedName name="DailyTotals">[1]TysonsStore2019!$F$2:$F$32</definedName>
    <definedName name="ExternalData_1" localSheetId="7" hidden="1">Customers!$A$1:$H$13</definedName>
    <definedName name="NewPrice" localSheetId="1">[1]TysonsStore2019!$K$8</definedName>
    <definedName name="NewPrice" localSheetId="5">TysonsStore2018!$I$8</definedName>
    <definedName name="NewPrice">TysonsStore2021!$K$8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1" l="1"/>
  <c r="H3" i="12"/>
  <c r="H4" i="12"/>
  <c r="H5" i="12"/>
  <c r="H6" i="12"/>
  <c r="H7" i="12"/>
  <c r="H8" i="12"/>
  <c r="H9" i="12"/>
  <c r="H10" i="12"/>
  <c r="H11" i="12"/>
  <c r="H12" i="12"/>
  <c r="H13" i="12"/>
  <c r="H2" i="12"/>
  <c r="B121" i="1"/>
  <c r="K5" i="3"/>
  <c r="K4" i="3"/>
  <c r="K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2" i="3"/>
  <c r="B9" i="11"/>
  <c r="C7" i="9"/>
  <c r="D7" i="9"/>
  <c r="E7" i="9"/>
  <c r="B7" i="9"/>
  <c r="B4" i="11"/>
  <c r="B6" i="11" l="1"/>
  <c r="B7" i="11" s="1"/>
  <c r="E31" i="6" l="1"/>
  <c r="E30" i="6"/>
  <c r="E29" i="6"/>
  <c r="E28" i="6"/>
  <c r="E27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0" i="6"/>
  <c r="E9" i="6"/>
  <c r="E8" i="6"/>
  <c r="E7" i="6"/>
  <c r="E6" i="6"/>
  <c r="E5" i="6"/>
  <c r="E4" i="6"/>
  <c r="E2" i="6"/>
  <c r="E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2" i="3" l="1"/>
  <c r="I32" i="3" s="1"/>
  <c r="E31" i="3"/>
  <c r="I31" i="3" s="1"/>
  <c r="E30" i="3"/>
  <c r="I30" i="3" s="1"/>
  <c r="E29" i="3"/>
  <c r="I29" i="3" s="1"/>
  <c r="E28" i="3"/>
  <c r="I28" i="3" s="1"/>
  <c r="E27" i="3"/>
  <c r="I27" i="3" s="1"/>
  <c r="E26" i="3"/>
  <c r="I26" i="3" s="1"/>
  <c r="E25" i="3"/>
  <c r="I25" i="3" s="1"/>
  <c r="E24" i="3"/>
  <c r="I24" i="3" s="1"/>
  <c r="E23" i="3"/>
  <c r="I23" i="3" s="1"/>
  <c r="E22" i="3"/>
  <c r="I22" i="3" s="1"/>
  <c r="E21" i="3"/>
  <c r="I21" i="3" s="1"/>
  <c r="E20" i="3"/>
  <c r="I20" i="3" s="1"/>
  <c r="E19" i="3"/>
  <c r="I19" i="3" s="1"/>
  <c r="E18" i="3"/>
  <c r="I18" i="3" s="1"/>
  <c r="E17" i="3"/>
  <c r="I17" i="3" s="1"/>
  <c r="E16" i="3"/>
  <c r="I16" i="3" s="1"/>
  <c r="E15" i="3"/>
  <c r="I15" i="3" s="1"/>
  <c r="E14" i="3"/>
  <c r="I14" i="3" s="1"/>
  <c r="E13" i="3"/>
  <c r="I13" i="3" s="1"/>
  <c r="E12" i="3"/>
  <c r="I12" i="3" s="1"/>
  <c r="E11" i="3"/>
  <c r="I11" i="3" s="1"/>
  <c r="E10" i="3"/>
  <c r="I10" i="3" s="1"/>
  <c r="E9" i="3"/>
  <c r="I9" i="3" s="1"/>
  <c r="E8" i="3"/>
  <c r="I8" i="3" s="1"/>
  <c r="E7" i="3"/>
  <c r="I7" i="3" s="1"/>
  <c r="E6" i="3"/>
  <c r="I6" i="3" s="1"/>
  <c r="E5" i="3"/>
  <c r="I5" i="3" s="1"/>
  <c r="E4" i="3"/>
  <c r="I4" i="3" s="1"/>
  <c r="E3" i="3"/>
  <c r="I3" i="3" s="1"/>
  <c r="E2" i="3"/>
  <c r="I2" i="3" s="1"/>
  <c r="K7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D5153F-637D-403A-A474-9EBC9103A477}" keepAlive="1" name="Query - ToptCustomers" description="Connection to the 'ToptCustomers' query in the workbook." type="5" refreshedVersion="0" background="1">
    <dbPr connection="Provider=Microsoft.Mashup.OleDb.1;Data Source=$Workbook$;Location=ToptCustomers;Extended Properties=&quot;&quot;" command="SELECT * FROM [ToptCustomers]"/>
  </connection>
  <connection id="2" xr16:uid="{5C0B1803-6B3E-4E72-9254-3F950A040E84}" keepAlive="1" name="Query - ToptCustomers (2)" description="Connection to the 'ToptCustomers (2)' query in the workbook." type="5" refreshedVersion="8" background="1" saveData="1">
    <dbPr connection="Provider=Microsoft.Mashup.OleDb.1;Data Source=$Workbook$;Location=&quot;ToptCustomers (2)&quot;;Extended Properties=&quot;&quot;" command="SELECT * FROM [ToptCustomers (2)]"/>
  </connection>
</connections>
</file>

<file path=xl/sharedStrings.xml><?xml version="1.0" encoding="utf-8"?>
<sst xmlns="http://schemas.openxmlformats.org/spreadsheetml/2006/main" count="603" uniqueCount="112">
  <si>
    <t>Online Sales During Buy 1 Get 1 Free Sale</t>
  </si>
  <si>
    <t>Date</t>
  </si>
  <si>
    <t>Quantity</t>
  </si>
  <si>
    <t>Item</t>
  </si>
  <si>
    <t>State</t>
  </si>
  <si>
    <t>Old Bay</t>
  </si>
  <si>
    <t>MD</t>
  </si>
  <si>
    <t>Original Blend</t>
  </si>
  <si>
    <t>OH</t>
  </si>
  <si>
    <t>CA</t>
  </si>
  <si>
    <t>Sea Salt and Caramel</t>
  </si>
  <si>
    <t>MO</t>
  </si>
  <si>
    <t>NJ</t>
  </si>
  <si>
    <t>Truffle</t>
  </si>
  <si>
    <t>VA</t>
  </si>
  <si>
    <t>DC</t>
  </si>
  <si>
    <t>AL</t>
  </si>
  <si>
    <t>MS</t>
  </si>
  <si>
    <t>NC</t>
  </si>
  <si>
    <t>NY</t>
  </si>
  <si>
    <t>ID</t>
  </si>
  <si>
    <t>WV</t>
  </si>
  <si>
    <t>SC</t>
  </si>
  <si>
    <t>Black Truffle</t>
  </si>
  <si>
    <t>Daily Total (# sold)</t>
  </si>
  <si>
    <t>Daily Total ($)</t>
  </si>
  <si>
    <t>Sales Goal Met?</t>
  </si>
  <si>
    <t>Current price per box:</t>
  </si>
  <si>
    <t>Daily sales goal:</t>
  </si>
  <si>
    <t>Average daily sales:</t>
  </si>
  <si>
    <t>Lowest daily sales:</t>
  </si>
  <si>
    <t>Highest daily sales:</t>
  </si>
  <si>
    <t>New price per box:</t>
  </si>
  <si>
    <t>with Price Increase</t>
  </si>
  <si>
    <t>Average sales with price increase</t>
  </si>
  <si>
    <t>Truck Location</t>
  </si>
  <si>
    <t>Farragut Square</t>
  </si>
  <si>
    <t>Georgetown</t>
  </si>
  <si>
    <t>K Street</t>
  </si>
  <si>
    <t>Price</t>
  </si>
  <si>
    <t>Interest (annual)</t>
  </si>
  <si>
    <t>Loan term (months)</t>
  </si>
  <si>
    <t>Monthly Payment</t>
  </si>
  <si>
    <t>Total Payments</t>
  </si>
  <si>
    <t>Interest Paid</t>
  </si>
  <si>
    <t>George Washington</t>
  </si>
  <si>
    <t>Top’t Corn Mobile Sales (August)</t>
  </si>
  <si>
    <t>Total</t>
  </si>
  <si>
    <t>Average Sales</t>
  </si>
  <si>
    <t>Buy new truck?</t>
  </si>
  <si>
    <t>Vehicle Safety Ratings</t>
  </si>
  <si>
    <t>Title</t>
  </si>
  <si>
    <t>LastName</t>
  </si>
  <si>
    <t>FirstName</t>
  </si>
  <si>
    <t>StreetAddress</t>
  </si>
  <si>
    <t>City</t>
  </si>
  <si>
    <t>ZipCode</t>
  </si>
  <si>
    <t>Phone</t>
  </si>
  <si>
    <t>Full Name</t>
  </si>
  <si>
    <t>Mr.</t>
  </si>
  <si>
    <t>Easton</t>
  </si>
  <si>
    <t>Jamie</t>
  </si>
  <si>
    <t>2905 Washington Street</t>
  </si>
  <si>
    <t>Miami FL</t>
  </si>
  <si>
    <t>(305) 555-1028</t>
  </si>
  <si>
    <t>Grant</t>
  </si>
  <si>
    <t>John</t>
  </si>
  <si>
    <t>702 Columbia Road</t>
  </si>
  <si>
    <t>West Palm Beach FL</t>
  </si>
  <si>
    <t>(561) 555-9361</t>
  </si>
  <si>
    <t>Ms.</t>
  </si>
  <si>
    <t>McDonald</t>
  </si>
  <si>
    <t>Nora</t>
  </si>
  <si>
    <t>3182 Roguski Road</t>
  </si>
  <si>
    <t>Ft. Lauderdale FL</t>
  </si>
  <si>
    <t>(954) 555-9177</t>
  </si>
  <si>
    <t>Rand</t>
  </si>
  <si>
    <t>Rosalie</t>
  </si>
  <si>
    <t>3320 Sharon Lane</t>
  </si>
  <si>
    <t>(561) 555-2958</t>
  </si>
  <si>
    <t>Rayner</t>
  </si>
  <si>
    <t>Ronald</t>
  </si>
  <si>
    <t>3670 Beechwood Drive</t>
  </si>
  <si>
    <t>(561) 555-1141</t>
  </si>
  <si>
    <t>Riggs</t>
  </si>
  <si>
    <t>Steven</t>
  </si>
  <si>
    <t>2860 Godfrey Road</t>
  </si>
  <si>
    <t>(954) 555-1017</t>
  </si>
  <si>
    <t>Sturm</t>
  </si>
  <si>
    <t>Robert</t>
  </si>
  <si>
    <t>2191 Jarvis Street</t>
  </si>
  <si>
    <t>(305) 555-0049</t>
  </si>
  <si>
    <t>Walker</t>
  </si>
  <si>
    <t>Jane</t>
  </si>
  <si>
    <t>2474 Croft Drive</t>
  </si>
  <si>
    <t>(954) 555-9960</t>
  </si>
  <si>
    <t>Wallace</t>
  </si>
  <si>
    <t>Susan</t>
  </si>
  <si>
    <t>590 Grant View Drive</t>
  </si>
  <si>
    <t>(954) 555-4512</t>
  </si>
  <si>
    <t>Willis</t>
  </si>
  <si>
    <t>Amy</t>
  </si>
  <si>
    <t>1274 Valley Street</t>
  </si>
  <si>
    <t>(561) 555-7939</t>
  </si>
  <si>
    <t>Wuellner</t>
  </si>
  <si>
    <t>Nathan</t>
  </si>
  <si>
    <t>4066 Glen Street</t>
  </si>
  <si>
    <t>(561) 555-0096</t>
  </si>
  <si>
    <t>Zhou</t>
  </si>
  <si>
    <t>Annie</t>
  </si>
  <si>
    <t>3952 Hewes Avenue</t>
  </si>
  <si>
    <t>(954) 555-4386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</si>
</sst>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&quot;$&quot;#,##0.00"/>
    <numFmt numFmtId="169" formatCode="_-[$$-409]* #,##0.00_ ;_-[$$-409]* \-#,##0.00\ ;_-[$$-409]* &quot;-&quot;??_ ;_-@_ "/>
    <numFmt numFmtId="170" formatCode="_-[$$-409]* #,##0_ ;_-[$$-409]* \-#,##0\ ;_-[$$-409]* &quot;-&quot;??_ ;_-@_ "/>
    <numFmt numFmtId="171" formatCode="[$$-409]#,##0.00_ ;\-[$$-409]#,##0.00\ "/>
  </numFmts>
  <fonts count="12" x14ac:knownFonts="1">
    <font>
      <sz val="11"/>
      <color theme="1"/>
      <name val="Corbel"/>
      <family val="2"/>
      <scheme val="minor"/>
    </font>
    <font>
      <b/>
      <sz val="11"/>
      <color theme="1"/>
      <name val="Corbel"/>
      <family val="2"/>
      <scheme val="minor"/>
    </font>
    <font>
      <b/>
      <sz val="11"/>
      <name val="Corbel"/>
      <family val="2"/>
      <scheme val="minor"/>
    </font>
    <font>
      <sz val="11"/>
      <color rgb="FF3F3F76"/>
      <name val="Corbel"/>
      <family val="2"/>
      <scheme val="minor"/>
    </font>
    <font>
      <b/>
      <sz val="11"/>
      <color rgb="FFFA7D00"/>
      <name val="Corbel"/>
      <family val="2"/>
      <scheme val="minor"/>
    </font>
    <font>
      <sz val="11"/>
      <color theme="0"/>
      <name val="Corbel"/>
      <family val="2"/>
      <scheme val="minor"/>
    </font>
    <font>
      <sz val="11"/>
      <color theme="1"/>
      <name val="Corbel"/>
      <family val="2"/>
      <scheme val="minor"/>
    </font>
    <font>
      <b/>
      <sz val="11"/>
      <color rgb="FF3F3F3F"/>
      <name val="Corbel"/>
      <family val="2"/>
      <scheme val="minor"/>
    </font>
    <font>
      <sz val="18"/>
      <color theme="3"/>
      <name val="Century Schoolbook"/>
      <family val="2"/>
      <scheme val="major"/>
    </font>
    <font>
      <b/>
      <sz val="15"/>
      <color theme="3"/>
      <name val="Corbel"/>
      <family val="2"/>
      <scheme val="minor"/>
    </font>
    <font>
      <sz val="18"/>
      <color theme="0"/>
      <name val="Century Schoolbook"/>
      <family val="2"/>
      <scheme val="major"/>
    </font>
    <font>
      <u/>
      <sz val="11"/>
      <color theme="10"/>
      <name val="Corbe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4" fillId="3" borderId="1" applyNumberFormat="0" applyAlignment="0" applyProtection="0"/>
    <xf numFmtId="166" fontId="6" fillId="0" borderId="0" applyFont="0" applyFill="0" applyBorder="0" applyAlignment="0" applyProtection="0"/>
    <xf numFmtId="0" fontId="3" fillId="2" borderId="1" applyNumberFormat="0" applyAlignment="0" applyProtection="0"/>
    <xf numFmtId="0" fontId="6" fillId="0" borderId="0"/>
    <xf numFmtId="0" fontId="7" fillId="3" borderId="2" applyNumberFormat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" fillId="0" borderId="4" applyNumberFormat="0" applyFill="0" applyAlignment="0" applyProtection="0"/>
    <xf numFmtId="0" fontId="11" fillId="0" borderId="0" applyNumberFormat="0" applyFill="0" applyBorder="0" applyAlignment="0" applyProtection="0"/>
  </cellStyleXfs>
  <cellXfs count="34">
    <xf numFmtId="0" fontId="0" fillId="0" borderId="0" xfId="0"/>
    <xf numFmtId="0" fontId="6" fillId="0" borderId="0" xfId="6"/>
    <xf numFmtId="0" fontId="1" fillId="0" borderId="0" xfId="6" applyFont="1" applyAlignment="1">
      <alignment horizontal="center"/>
    </xf>
    <xf numFmtId="0" fontId="2" fillId="0" borderId="0" xfId="6" applyFont="1"/>
    <xf numFmtId="14" fontId="6" fillId="0" borderId="0" xfId="6" applyNumberFormat="1"/>
    <xf numFmtId="0" fontId="5" fillId="4" borderId="0" xfId="1"/>
    <xf numFmtId="0" fontId="5" fillId="5" borderId="0" xfId="2"/>
    <xf numFmtId="0" fontId="1" fillId="0" borderId="0" xfId="6" applyFont="1"/>
    <xf numFmtId="164" fontId="6" fillId="0" borderId="0" xfId="6" applyNumberFormat="1"/>
    <xf numFmtId="16" fontId="6" fillId="0" borderId="0" xfId="6" applyNumberFormat="1"/>
    <xf numFmtId="164" fontId="4" fillId="3" borderId="1" xfId="3" applyNumberFormat="1"/>
    <xf numFmtId="164" fontId="3" fillId="2" borderId="1" xfId="5" applyNumberFormat="1"/>
    <xf numFmtId="167" fontId="0" fillId="0" borderId="0" xfId="4" applyNumberFormat="1" applyFont="1"/>
    <xf numFmtId="167" fontId="7" fillId="3" borderId="2" xfId="7" applyNumberFormat="1"/>
    <xf numFmtId="14" fontId="5" fillId="4" borderId="0" xfId="1" applyNumberFormat="1"/>
    <xf numFmtId="1" fontId="6" fillId="0" borderId="0" xfId="6" applyNumberFormat="1"/>
    <xf numFmtId="168" fontId="6" fillId="0" borderId="0" xfId="6" applyNumberFormat="1"/>
    <xf numFmtId="9" fontId="6" fillId="0" borderId="0" xfId="6" applyNumberFormat="1"/>
    <xf numFmtId="165" fontId="6" fillId="0" borderId="0" xfId="6" applyNumberFormat="1"/>
    <xf numFmtId="169" fontId="6" fillId="0" borderId="0" xfId="6" applyNumberFormat="1"/>
    <xf numFmtId="170" fontId="1" fillId="0" borderId="4" xfId="10" applyNumberFormat="1"/>
    <xf numFmtId="0" fontId="6" fillId="0" borderId="5" xfId="6" applyBorder="1"/>
    <xf numFmtId="165" fontId="6" fillId="0" borderId="6" xfId="6" applyNumberFormat="1" applyBorder="1"/>
    <xf numFmtId="0" fontId="6" fillId="0" borderId="7" xfId="6" applyBorder="1"/>
    <xf numFmtId="165" fontId="6" fillId="0" borderId="8" xfId="6" applyNumberFormat="1" applyBorder="1"/>
    <xf numFmtId="0" fontId="0" fillId="0" borderId="0" xfId="6" applyFont="1"/>
    <xf numFmtId="0" fontId="11" fillId="0" borderId="0" xfId="11"/>
    <xf numFmtId="0" fontId="1" fillId="0" borderId="0" xfId="6" applyFont="1" applyAlignment="1">
      <alignment wrapText="1"/>
    </xf>
    <xf numFmtId="0" fontId="6" fillId="0" borderId="0" xfId="0" applyFont="1"/>
    <xf numFmtId="171" fontId="6" fillId="0" borderId="0" xfId="6" applyNumberFormat="1"/>
    <xf numFmtId="0" fontId="1" fillId="0" borderId="4" xfId="10"/>
    <xf numFmtId="0" fontId="10" fillId="6" borderId="0" xfId="8" applyFont="1" applyFill="1" applyAlignment="1">
      <alignment horizontal="center"/>
    </xf>
    <xf numFmtId="0" fontId="9" fillId="0" borderId="0" xfId="9" applyBorder="1" applyAlignment="1">
      <alignment horizontal="center"/>
    </xf>
    <xf numFmtId="0" fontId="1" fillId="0" borderId="0" xfId="6" applyFont="1" applyAlignment="1">
      <alignment horizontal="center"/>
    </xf>
  </cellXfs>
  <cellStyles count="12">
    <cellStyle name="Accent5#XmI+7ms1RWsURP3/snmyOhU4+Wv1MfFhn1yjY7isoZA=" xfId="1" xr:uid="{00000000-0005-0000-0000-000007000000}"/>
    <cellStyle name="Accent6#rnUroC3PWvyQzYfaSfZEExgj/yRcbsU7HNR9imlZxJM=" xfId="2" xr:uid="{00000000-0005-0000-0000-000008000000}"/>
    <cellStyle name="Calculation#eiB6J7sUIDHOtNVO6Nz+++UC/I9/FlZeN91iNHuWoFnsevx97coydQ==" xfId="3" xr:uid="{00000000-0005-0000-0000-000009000000}"/>
    <cellStyle name="Currency#TnBmtWgHPaL8pV6IWEfD/TWJg8HGOpUv8ucU7IfgsPA=" xfId="4" xr:uid="{00000000-0005-0000-0000-00000A000000}"/>
    <cellStyle name="Heading 1" xfId="9" builtinId="16"/>
    <cellStyle name="Hyperlink" xfId="11" builtinId="8"/>
    <cellStyle name="Input#GqpdcjkNnXcvtnGyk9OQzKh+0stHBtSqHF8WRHP/6B0=" xfId="5" xr:uid="{00000000-0005-0000-0000-00000B000000}"/>
    <cellStyle name="Normal" xfId="0" builtinId="0"/>
    <cellStyle name="Normal#i04lexc/VELTyYhR+eM3cVcUAWyIEFdttGamhEGJ4xs=" xfId="6" xr:uid="{00000000-0005-0000-0000-00000C000000}"/>
    <cellStyle name="Output#+fJYQeAcLwX9TlPEud9val1VWvzYnN/ncn6T2MXlg1Q=" xfId="7" xr:uid="{00000000-0005-0000-0000-00000D000000}"/>
    <cellStyle name="Title" xfId="8" builtinId="15"/>
    <cellStyle name="Total" xfId="10" builtinId="25"/>
  </cellStyles>
  <dxfs count="12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14-4C2A-8EB8-C01EC46737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14-4C2A-8EB8-C01EC46737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14-4C2A-8EB8-C01EC46737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14-4C2A-8EB8-C01EC46737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MobileSales!$B$3:$E$3</c:f>
              <c:strCache>
                <c:ptCount val="4"/>
                <c:pt idx="0">
                  <c:v>Farragut Square</c:v>
                </c:pt>
                <c:pt idx="1">
                  <c:v>George Washington</c:v>
                </c:pt>
                <c:pt idx="2">
                  <c:v>Georgetown</c:v>
                </c:pt>
                <c:pt idx="3">
                  <c:v>K Street</c:v>
                </c:pt>
              </c:strCache>
            </c:strRef>
          </c:cat>
          <c:val>
            <c:numRef>
              <c:f>MobileSales!$B$4:$E$4</c:f>
              <c:numCache>
                <c:formatCode>_-[$$-409]* #,##0.00_ ;_-[$$-409]* \-#,##0.00\ ;_-[$$-409]* "-"??_ ;_-@_ </c:formatCode>
                <c:ptCount val="4"/>
                <c:pt idx="0">
                  <c:v>2500</c:v>
                </c:pt>
                <c:pt idx="1">
                  <c:v>800</c:v>
                </c:pt>
                <c:pt idx="2">
                  <c:v>600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D-4E45-BAD3-1EF03BE6018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August Sales by Popcorn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MobileSales!$B$3</c:f>
              <c:strCache>
                <c:ptCount val="1"/>
                <c:pt idx="0">
                  <c:v>Farragut Square</c:v>
                </c:pt>
              </c:strCache>
            </c:strRef>
          </c:tx>
          <c:spPr>
            <a:solidFill>
              <a:schemeClr val="accent1">
                <a:tint val="67000"/>
                <a:satMod val="105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MobileSales!$A$4:$A$6</c:f>
              <c:strCache>
                <c:ptCount val="3"/>
                <c:pt idx="0">
                  <c:v>Old Bay</c:v>
                </c:pt>
                <c:pt idx="1">
                  <c:v>Truffle</c:v>
                </c:pt>
                <c:pt idx="2">
                  <c:v>Sea Salt and Caramel</c:v>
                </c:pt>
              </c:strCache>
            </c:strRef>
          </c:cat>
          <c:val>
            <c:numRef>
              <c:f>MobileSales!$B$4:$B$6</c:f>
              <c:numCache>
                <c:formatCode>_-[$$-409]* #,##0.00_ ;_-[$$-409]* \-#,##0.00\ ;_-[$$-409]* "-"??_ ;_-@_ </c:formatCode>
                <c:ptCount val="3"/>
                <c:pt idx="0">
                  <c:v>2500</c:v>
                </c:pt>
                <c:pt idx="1">
                  <c:v>3200</c:v>
                </c:pt>
                <c:pt idx="2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2-4FC5-8165-8D4820D2A6FA}"/>
            </c:ext>
          </c:extLst>
        </c:ser>
        <c:ser>
          <c:idx val="1"/>
          <c:order val="1"/>
          <c:tx>
            <c:strRef>
              <c:f>MobileSales!$C$3</c:f>
              <c:strCache>
                <c:ptCount val="1"/>
                <c:pt idx="0">
                  <c:v>George Washington</c:v>
                </c:pt>
              </c:strCache>
            </c:strRef>
          </c:tx>
          <c:spPr>
            <a:solidFill>
              <a:schemeClr val="accent2">
                <a:tint val="67000"/>
                <a:satMod val="105000"/>
              </a:schemeClr>
            </a:soli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MobileSales!$A$4:$A$6</c:f>
              <c:strCache>
                <c:ptCount val="3"/>
                <c:pt idx="0">
                  <c:v>Old Bay</c:v>
                </c:pt>
                <c:pt idx="1">
                  <c:v>Truffle</c:v>
                </c:pt>
                <c:pt idx="2">
                  <c:v>Sea Salt and Caramel</c:v>
                </c:pt>
              </c:strCache>
            </c:strRef>
          </c:cat>
          <c:val>
            <c:numRef>
              <c:f>MobileSales!$C$4:$C$6</c:f>
              <c:numCache>
                <c:formatCode>_-[$$-409]* #,##0.00_ ;_-[$$-409]* \-#,##0.00\ ;_-[$$-409]* "-"??_ ;_-@_ </c:formatCode>
                <c:ptCount val="3"/>
                <c:pt idx="0">
                  <c:v>800</c:v>
                </c:pt>
                <c:pt idx="1">
                  <c:v>600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82-4FC5-8165-8D4820D2A6FA}"/>
            </c:ext>
          </c:extLst>
        </c:ser>
        <c:ser>
          <c:idx val="2"/>
          <c:order val="2"/>
          <c:tx>
            <c:strRef>
              <c:f>MobileSales!$D$3</c:f>
              <c:strCache>
                <c:ptCount val="1"/>
                <c:pt idx="0">
                  <c:v>Georgetown</c:v>
                </c:pt>
              </c:strCache>
            </c:strRef>
          </c:tx>
          <c:spPr>
            <a:solidFill>
              <a:schemeClr val="accent3">
                <a:tint val="67000"/>
                <a:satMod val="105000"/>
              </a:schemeClr>
            </a:soli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MobileSales!$A$4:$A$6</c:f>
              <c:strCache>
                <c:ptCount val="3"/>
                <c:pt idx="0">
                  <c:v>Old Bay</c:v>
                </c:pt>
                <c:pt idx="1">
                  <c:v>Truffle</c:v>
                </c:pt>
                <c:pt idx="2">
                  <c:v>Sea Salt and Caramel</c:v>
                </c:pt>
              </c:strCache>
            </c:strRef>
          </c:cat>
          <c:val>
            <c:numRef>
              <c:f>MobileSales!$D$4:$D$6</c:f>
              <c:numCache>
                <c:formatCode>_-[$$-409]* #,##0.00_ ;_-[$$-409]* \-#,##0.00\ ;_-[$$-409]* "-"??_ ;_-@_ </c:formatCode>
                <c:ptCount val="3"/>
                <c:pt idx="0">
                  <c:v>600</c:v>
                </c:pt>
                <c:pt idx="1">
                  <c:v>1200</c:v>
                </c:pt>
                <c:pt idx="2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82-4FC5-8165-8D4820D2A6FA}"/>
            </c:ext>
          </c:extLst>
        </c:ser>
        <c:ser>
          <c:idx val="3"/>
          <c:order val="3"/>
          <c:tx>
            <c:strRef>
              <c:f>MobileSales!$E$3</c:f>
              <c:strCache>
                <c:ptCount val="1"/>
                <c:pt idx="0">
                  <c:v>K Street</c:v>
                </c:pt>
              </c:strCache>
            </c:strRef>
          </c:tx>
          <c:spPr>
            <a:solidFill>
              <a:schemeClr val="accent4">
                <a:tint val="67000"/>
                <a:satMod val="105000"/>
              </a:schemeClr>
            </a:soli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MobileSales!$A$4:$A$6</c:f>
              <c:strCache>
                <c:ptCount val="3"/>
                <c:pt idx="0">
                  <c:v>Old Bay</c:v>
                </c:pt>
                <c:pt idx="1">
                  <c:v>Truffle</c:v>
                </c:pt>
                <c:pt idx="2">
                  <c:v>Sea Salt and Caramel</c:v>
                </c:pt>
              </c:strCache>
            </c:strRef>
          </c:cat>
          <c:val>
            <c:numRef>
              <c:f>MobileSales!$E$4:$E$6</c:f>
              <c:numCache>
                <c:formatCode>_-[$$-409]* #,##0.00_ ;_-[$$-409]* \-#,##0.00\ ;_-[$$-409]* "-"??_ ;_-@_ </c:formatCode>
                <c:ptCount val="3"/>
                <c:pt idx="0">
                  <c:v>900</c:v>
                </c:pt>
                <c:pt idx="1">
                  <c:v>1500</c:v>
                </c:pt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0-4CC8-BFC0-425FAA96A5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3880623"/>
        <c:axId val="1303865263"/>
      </c:barChart>
      <c:catAx>
        <c:axId val="130388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65263"/>
        <c:crosses val="autoZero"/>
        <c:auto val="1"/>
        <c:lblAlgn val="ctr"/>
        <c:lblOffset val="100"/>
        <c:noMultiLvlLbl val="0"/>
      </c:catAx>
      <c:valAx>
        <c:axId val="130386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8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OldTownStore!$E$1</c:f>
              <c:strCache>
                <c:ptCount val="1"/>
                <c:pt idx="0">
                  <c:v>Daily Total (# sold)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OldTownStore!$A$2:$A$32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OldTownStore!$E$2:$E$32</c:f>
              <c:numCache>
                <c:formatCode>General</c:formatCode>
                <c:ptCount val="31"/>
                <c:pt idx="0">
                  <c:v>299</c:v>
                </c:pt>
                <c:pt idx="1">
                  <c:v>375</c:v>
                </c:pt>
                <c:pt idx="2">
                  <c:v>135</c:v>
                </c:pt>
                <c:pt idx="3">
                  <c:v>199</c:v>
                </c:pt>
                <c:pt idx="4">
                  <c:v>321</c:v>
                </c:pt>
                <c:pt idx="5">
                  <c:v>295</c:v>
                </c:pt>
                <c:pt idx="6">
                  <c:v>132</c:v>
                </c:pt>
                <c:pt idx="7">
                  <c:v>177</c:v>
                </c:pt>
                <c:pt idx="8">
                  <c:v>97</c:v>
                </c:pt>
                <c:pt idx="9">
                  <c:v>275</c:v>
                </c:pt>
                <c:pt idx="10">
                  <c:v>256</c:v>
                </c:pt>
                <c:pt idx="11">
                  <c:v>196</c:v>
                </c:pt>
                <c:pt idx="12">
                  <c:v>267</c:v>
                </c:pt>
                <c:pt idx="13">
                  <c:v>267</c:v>
                </c:pt>
                <c:pt idx="14">
                  <c:v>98</c:v>
                </c:pt>
                <c:pt idx="15">
                  <c:v>314</c:v>
                </c:pt>
                <c:pt idx="16">
                  <c:v>110</c:v>
                </c:pt>
                <c:pt idx="17">
                  <c:v>287</c:v>
                </c:pt>
                <c:pt idx="18">
                  <c:v>213</c:v>
                </c:pt>
                <c:pt idx="19">
                  <c:v>241</c:v>
                </c:pt>
                <c:pt idx="20">
                  <c:v>306</c:v>
                </c:pt>
                <c:pt idx="21">
                  <c:v>226</c:v>
                </c:pt>
                <c:pt idx="22">
                  <c:v>266</c:v>
                </c:pt>
                <c:pt idx="23">
                  <c:v>239</c:v>
                </c:pt>
                <c:pt idx="24">
                  <c:v>251</c:v>
                </c:pt>
                <c:pt idx="25">
                  <c:v>223</c:v>
                </c:pt>
                <c:pt idx="26">
                  <c:v>215</c:v>
                </c:pt>
                <c:pt idx="27">
                  <c:v>154</c:v>
                </c:pt>
                <c:pt idx="28">
                  <c:v>269</c:v>
                </c:pt>
                <c:pt idx="29">
                  <c:v>275</c:v>
                </c:pt>
                <c:pt idx="30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2-4325-9049-083A97B63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429944"/>
        <c:axId val="2764253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OldTownStore!$B$1</c15:sqref>
                        </c15:formulaRef>
                      </c:ext>
                    </c:extLst>
                    <c:strCache>
                      <c:ptCount val="1"/>
                      <c:pt idx="0">
                        <c:v>Old Bay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OldTownStore!$A$2:$A$32</c15:sqref>
                        </c15:formulaRef>
                      </c:ext>
                    </c:extLst>
                    <c:numCache>
                      <c:formatCode>m/d/yyyy</c:formatCode>
                      <c:ptCount val="31"/>
                      <c:pt idx="0">
                        <c:v>44409</c:v>
                      </c:pt>
                      <c:pt idx="1">
                        <c:v>44410</c:v>
                      </c:pt>
                      <c:pt idx="2">
                        <c:v>44411</c:v>
                      </c:pt>
                      <c:pt idx="3">
                        <c:v>44412</c:v>
                      </c:pt>
                      <c:pt idx="4">
                        <c:v>44413</c:v>
                      </c:pt>
                      <c:pt idx="5">
                        <c:v>44414</c:v>
                      </c:pt>
                      <c:pt idx="6">
                        <c:v>44415</c:v>
                      </c:pt>
                      <c:pt idx="7">
                        <c:v>44416</c:v>
                      </c:pt>
                      <c:pt idx="8">
                        <c:v>44417</c:v>
                      </c:pt>
                      <c:pt idx="9">
                        <c:v>44418</c:v>
                      </c:pt>
                      <c:pt idx="10">
                        <c:v>44419</c:v>
                      </c:pt>
                      <c:pt idx="11">
                        <c:v>44420</c:v>
                      </c:pt>
                      <c:pt idx="12">
                        <c:v>44421</c:v>
                      </c:pt>
                      <c:pt idx="13">
                        <c:v>44422</c:v>
                      </c:pt>
                      <c:pt idx="14">
                        <c:v>44423</c:v>
                      </c:pt>
                      <c:pt idx="15">
                        <c:v>44424</c:v>
                      </c:pt>
                      <c:pt idx="16">
                        <c:v>44425</c:v>
                      </c:pt>
                      <c:pt idx="17">
                        <c:v>44426</c:v>
                      </c:pt>
                      <c:pt idx="18">
                        <c:v>44427</c:v>
                      </c:pt>
                      <c:pt idx="19">
                        <c:v>44428</c:v>
                      </c:pt>
                      <c:pt idx="20">
                        <c:v>44429</c:v>
                      </c:pt>
                      <c:pt idx="21">
                        <c:v>44430</c:v>
                      </c:pt>
                      <c:pt idx="22">
                        <c:v>44431</c:v>
                      </c:pt>
                      <c:pt idx="23">
                        <c:v>44432</c:v>
                      </c:pt>
                      <c:pt idx="24">
                        <c:v>44433</c:v>
                      </c:pt>
                      <c:pt idx="25">
                        <c:v>44434</c:v>
                      </c:pt>
                      <c:pt idx="26">
                        <c:v>44435</c:v>
                      </c:pt>
                      <c:pt idx="27">
                        <c:v>44436</c:v>
                      </c:pt>
                      <c:pt idx="28">
                        <c:v>44437</c:v>
                      </c:pt>
                      <c:pt idx="29">
                        <c:v>44438</c:v>
                      </c:pt>
                      <c:pt idx="30">
                        <c:v>44439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OldTownStore!$B$2:$B$32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140</c:v>
                      </c:pt>
                      <c:pt idx="1">
                        <c:v>141</c:v>
                      </c:pt>
                      <c:pt idx="2">
                        <c:v>32</c:v>
                      </c:pt>
                      <c:pt idx="3">
                        <c:v>130</c:v>
                      </c:pt>
                      <c:pt idx="4">
                        <c:v>104</c:v>
                      </c:pt>
                      <c:pt idx="5">
                        <c:v>43</c:v>
                      </c:pt>
                      <c:pt idx="6">
                        <c:v>61</c:v>
                      </c:pt>
                      <c:pt idx="7">
                        <c:v>16</c:v>
                      </c:pt>
                      <c:pt idx="8">
                        <c:v>8</c:v>
                      </c:pt>
                      <c:pt idx="9">
                        <c:v>145</c:v>
                      </c:pt>
                      <c:pt idx="10">
                        <c:v>94</c:v>
                      </c:pt>
                      <c:pt idx="11">
                        <c:v>50</c:v>
                      </c:pt>
                      <c:pt idx="12">
                        <c:v>92</c:v>
                      </c:pt>
                      <c:pt idx="13">
                        <c:v>64</c:v>
                      </c:pt>
                      <c:pt idx="14">
                        <c:v>40</c:v>
                      </c:pt>
                      <c:pt idx="15">
                        <c:v>136</c:v>
                      </c:pt>
                      <c:pt idx="16">
                        <c:v>21</c:v>
                      </c:pt>
                      <c:pt idx="17">
                        <c:v>32</c:v>
                      </c:pt>
                      <c:pt idx="18">
                        <c:v>57</c:v>
                      </c:pt>
                      <c:pt idx="19">
                        <c:v>36</c:v>
                      </c:pt>
                      <c:pt idx="20">
                        <c:v>122</c:v>
                      </c:pt>
                      <c:pt idx="21">
                        <c:v>53</c:v>
                      </c:pt>
                      <c:pt idx="22">
                        <c:v>96</c:v>
                      </c:pt>
                      <c:pt idx="23">
                        <c:v>96</c:v>
                      </c:pt>
                      <c:pt idx="24">
                        <c:v>118</c:v>
                      </c:pt>
                      <c:pt idx="25">
                        <c:v>115</c:v>
                      </c:pt>
                      <c:pt idx="26">
                        <c:v>29</c:v>
                      </c:pt>
                      <c:pt idx="27">
                        <c:v>20</c:v>
                      </c:pt>
                      <c:pt idx="28">
                        <c:v>66</c:v>
                      </c:pt>
                      <c:pt idx="29">
                        <c:v>73</c:v>
                      </c:pt>
                      <c:pt idx="30">
                        <c:v>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282-4325-9049-083A97B6384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OldTownStore!$C$1</c15:sqref>
                        </c15:formulaRef>
                      </c:ext>
                    </c:extLst>
                    <c:strCache>
                      <c:ptCount val="1"/>
                      <c:pt idx="0">
                        <c:v>Black Truffle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OldTownStore!$A$2:$A$32</c15:sqref>
                        </c15:formulaRef>
                      </c:ext>
                    </c:extLst>
                    <c:numCache>
                      <c:formatCode>m/d/yyyy</c:formatCode>
                      <c:ptCount val="31"/>
                      <c:pt idx="0">
                        <c:v>44409</c:v>
                      </c:pt>
                      <c:pt idx="1">
                        <c:v>44410</c:v>
                      </c:pt>
                      <c:pt idx="2">
                        <c:v>44411</c:v>
                      </c:pt>
                      <c:pt idx="3">
                        <c:v>44412</c:v>
                      </c:pt>
                      <c:pt idx="4">
                        <c:v>44413</c:v>
                      </c:pt>
                      <c:pt idx="5">
                        <c:v>44414</c:v>
                      </c:pt>
                      <c:pt idx="6">
                        <c:v>44415</c:v>
                      </c:pt>
                      <c:pt idx="7">
                        <c:v>44416</c:v>
                      </c:pt>
                      <c:pt idx="8">
                        <c:v>44417</c:v>
                      </c:pt>
                      <c:pt idx="9">
                        <c:v>44418</c:v>
                      </c:pt>
                      <c:pt idx="10">
                        <c:v>44419</c:v>
                      </c:pt>
                      <c:pt idx="11">
                        <c:v>44420</c:v>
                      </c:pt>
                      <c:pt idx="12">
                        <c:v>44421</c:v>
                      </c:pt>
                      <c:pt idx="13">
                        <c:v>44422</c:v>
                      </c:pt>
                      <c:pt idx="14">
                        <c:v>44423</c:v>
                      </c:pt>
                      <c:pt idx="15">
                        <c:v>44424</c:v>
                      </c:pt>
                      <c:pt idx="16">
                        <c:v>44425</c:v>
                      </c:pt>
                      <c:pt idx="17">
                        <c:v>44426</c:v>
                      </c:pt>
                      <c:pt idx="18">
                        <c:v>44427</c:v>
                      </c:pt>
                      <c:pt idx="19">
                        <c:v>44428</c:v>
                      </c:pt>
                      <c:pt idx="20">
                        <c:v>44429</c:v>
                      </c:pt>
                      <c:pt idx="21">
                        <c:v>44430</c:v>
                      </c:pt>
                      <c:pt idx="22">
                        <c:v>44431</c:v>
                      </c:pt>
                      <c:pt idx="23">
                        <c:v>44432</c:v>
                      </c:pt>
                      <c:pt idx="24">
                        <c:v>44433</c:v>
                      </c:pt>
                      <c:pt idx="25">
                        <c:v>44434</c:v>
                      </c:pt>
                      <c:pt idx="26">
                        <c:v>44435</c:v>
                      </c:pt>
                      <c:pt idx="27">
                        <c:v>44436</c:v>
                      </c:pt>
                      <c:pt idx="28">
                        <c:v>44437</c:v>
                      </c:pt>
                      <c:pt idx="29">
                        <c:v>44438</c:v>
                      </c:pt>
                      <c:pt idx="30">
                        <c:v>44439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OldTownStore!$C$2:$C$32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49</c:v>
                      </c:pt>
                      <c:pt idx="1">
                        <c:v>100</c:v>
                      </c:pt>
                      <c:pt idx="2">
                        <c:v>68</c:v>
                      </c:pt>
                      <c:pt idx="3">
                        <c:v>35</c:v>
                      </c:pt>
                      <c:pt idx="4">
                        <c:v>124</c:v>
                      </c:pt>
                      <c:pt idx="5">
                        <c:v>135</c:v>
                      </c:pt>
                      <c:pt idx="6">
                        <c:v>9</c:v>
                      </c:pt>
                      <c:pt idx="7">
                        <c:v>68</c:v>
                      </c:pt>
                      <c:pt idx="8">
                        <c:v>70</c:v>
                      </c:pt>
                      <c:pt idx="9">
                        <c:v>9</c:v>
                      </c:pt>
                      <c:pt idx="10">
                        <c:v>14</c:v>
                      </c:pt>
                      <c:pt idx="11">
                        <c:v>59</c:v>
                      </c:pt>
                      <c:pt idx="12">
                        <c:v>110</c:v>
                      </c:pt>
                      <c:pt idx="13">
                        <c:v>140</c:v>
                      </c:pt>
                      <c:pt idx="14">
                        <c:v>46</c:v>
                      </c:pt>
                      <c:pt idx="15">
                        <c:v>50</c:v>
                      </c:pt>
                      <c:pt idx="16">
                        <c:v>34</c:v>
                      </c:pt>
                      <c:pt idx="17">
                        <c:v>122</c:v>
                      </c:pt>
                      <c:pt idx="18">
                        <c:v>144</c:v>
                      </c:pt>
                      <c:pt idx="19">
                        <c:v>98</c:v>
                      </c:pt>
                      <c:pt idx="20">
                        <c:v>140</c:v>
                      </c:pt>
                      <c:pt idx="21">
                        <c:v>76</c:v>
                      </c:pt>
                      <c:pt idx="22">
                        <c:v>122</c:v>
                      </c:pt>
                      <c:pt idx="23">
                        <c:v>100</c:v>
                      </c:pt>
                      <c:pt idx="24">
                        <c:v>106</c:v>
                      </c:pt>
                      <c:pt idx="25">
                        <c:v>61</c:v>
                      </c:pt>
                      <c:pt idx="26">
                        <c:v>53</c:v>
                      </c:pt>
                      <c:pt idx="27">
                        <c:v>124</c:v>
                      </c:pt>
                      <c:pt idx="28">
                        <c:v>73</c:v>
                      </c:pt>
                      <c:pt idx="29">
                        <c:v>78</c:v>
                      </c:pt>
                      <c:pt idx="30">
                        <c:v>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82-4325-9049-083A97B6384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OldTownStore!$D$1</c15:sqref>
                        </c15:formulaRef>
                      </c:ext>
                    </c:extLst>
                    <c:strCache>
                      <c:ptCount val="1"/>
                      <c:pt idx="0">
                        <c:v>Sea Salt and Caramel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OldTownStore!$A$2:$A$32</c15:sqref>
                        </c15:formulaRef>
                      </c:ext>
                    </c:extLst>
                    <c:numCache>
                      <c:formatCode>m/d/yyyy</c:formatCode>
                      <c:ptCount val="31"/>
                      <c:pt idx="0">
                        <c:v>44409</c:v>
                      </c:pt>
                      <c:pt idx="1">
                        <c:v>44410</c:v>
                      </c:pt>
                      <c:pt idx="2">
                        <c:v>44411</c:v>
                      </c:pt>
                      <c:pt idx="3">
                        <c:v>44412</c:v>
                      </c:pt>
                      <c:pt idx="4">
                        <c:v>44413</c:v>
                      </c:pt>
                      <c:pt idx="5">
                        <c:v>44414</c:v>
                      </c:pt>
                      <c:pt idx="6">
                        <c:v>44415</c:v>
                      </c:pt>
                      <c:pt idx="7">
                        <c:v>44416</c:v>
                      </c:pt>
                      <c:pt idx="8">
                        <c:v>44417</c:v>
                      </c:pt>
                      <c:pt idx="9">
                        <c:v>44418</c:v>
                      </c:pt>
                      <c:pt idx="10">
                        <c:v>44419</c:v>
                      </c:pt>
                      <c:pt idx="11">
                        <c:v>44420</c:v>
                      </c:pt>
                      <c:pt idx="12">
                        <c:v>44421</c:v>
                      </c:pt>
                      <c:pt idx="13">
                        <c:v>44422</c:v>
                      </c:pt>
                      <c:pt idx="14">
                        <c:v>44423</c:v>
                      </c:pt>
                      <c:pt idx="15">
                        <c:v>44424</c:v>
                      </c:pt>
                      <c:pt idx="16">
                        <c:v>44425</c:v>
                      </c:pt>
                      <c:pt idx="17">
                        <c:v>44426</c:v>
                      </c:pt>
                      <c:pt idx="18">
                        <c:v>44427</c:v>
                      </c:pt>
                      <c:pt idx="19">
                        <c:v>44428</c:v>
                      </c:pt>
                      <c:pt idx="20">
                        <c:v>44429</c:v>
                      </c:pt>
                      <c:pt idx="21">
                        <c:v>44430</c:v>
                      </c:pt>
                      <c:pt idx="22">
                        <c:v>44431</c:v>
                      </c:pt>
                      <c:pt idx="23">
                        <c:v>44432</c:v>
                      </c:pt>
                      <c:pt idx="24">
                        <c:v>44433</c:v>
                      </c:pt>
                      <c:pt idx="25">
                        <c:v>44434</c:v>
                      </c:pt>
                      <c:pt idx="26">
                        <c:v>44435</c:v>
                      </c:pt>
                      <c:pt idx="27">
                        <c:v>44436</c:v>
                      </c:pt>
                      <c:pt idx="28">
                        <c:v>44437</c:v>
                      </c:pt>
                      <c:pt idx="29">
                        <c:v>44438</c:v>
                      </c:pt>
                      <c:pt idx="30">
                        <c:v>44439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OldTownStore!$D$2:$D$32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110</c:v>
                      </c:pt>
                      <c:pt idx="1">
                        <c:v>133</c:v>
                      </c:pt>
                      <c:pt idx="2">
                        <c:v>35</c:v>
                      </c:pt>
                      <c:pt idx="3">
                        <c:v>34</c:v>
                      </c:pt>
                      <c:pt idx="4">
                        <c:v>93</c:v>
                      </c:pt>
                      <c:pt idx="5">
                        <c:v>117</c:v>
                      </c:pt>
                      <c:pt idx="6">
                        <c:v>62</c:v>
                      </c:pt>
                      <c:pt idx="7">
                        <c:v>93</c:v>
                      </c:pt>
                      <c:pt idx="8">
                        <c:v>19</c:v>
                      </c:pt>
                      <c:pt idx="9">
                        <c:v>114</c:v>
                      </c:pt>
                      <c:pt idx="10">
                        <c:v>148</c:v>
                      </c:pt>
                      <c:pt idx="11">
                        <c:v>87</c:v>
                      </c:pt>
                      <c:pt idx="12">
                        <c:v>65</c:v>
                      </c:pt>
                      <c:pt idx="13">
                        <c:v>63</c:v>
                      </c:pt>
                      <c:pt idx="14">
                        <c:v>12</c:v>
                      </c:pt>
                      <c:pt idx="15">
                        <c:v>128</c:v>
                      </c:pt>
                      <c:pt idx="16">
                        <c:v>55</c:v>
                      </c:pt>
                      <c:pt idx="17">
                        <c:v>133</c:v>
                      </c:pt>
                      <c:pt idx="18">
                        <c:v>12</c:v>
                      </c:pt>
                      <c:pt idx="19">
                        <c:v>107</c:v>
                      </c:pt>
                      <c:pt idx="20">
                        <c:v>44</c:v>
                      </c:pt>
                      <c:pt idx="21">
                        <c:v>97</c:v>
                      </c:pt>
                      <c:pt idx="22">
                        <c:v>48</c:v>
                      </c:pt>
                      <c:pt idx="23">
                        <c:v>43</c:v>
                      </c:pt>
                      <c:pt idx="24">
                        <c:v>30</c:v>
                      </c:pt>
                      <c:pt idx="25">
                        <c:v>47</c:v>
                      </c:pt>
                      <c:pt idx="26">
                        <c:v>133</c:v>
                      </c:pt>
                      <c:pt idx="27">
                        <c:v>10</c:v>
                      </c:pt>
                      <c:pt idx="28">
                        <c:v>130</c:v>
                      </c:pt>
                      <c:pt idx="29">
                        <c:v>124</c:v>
                      </c:pt>
                      <c:pt idx="30">
                        <c:v>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282-4325-9049-083A97B63849}"/>
                  </c:ext>
                </c:extLst>
              </c15:ser>
            </c15:filteredLineSeries>
          </c:ext>
        </c:extLst>
      </c:lineChart>
      <c:dateAx>
        <c:axId val="2764299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425352"/>
        <c:crosses val="autoZero"/>
        <c:auto val="1"/>
        <c:lblOffset val="100"/>
        <c:baseTimeUnit val="days"/>
      </c:dateAx>
      <c:valAx>
        <c:axId val="276425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42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</xdr:colOff>
      <xdr:row>7</xdr:row>
      <xdr:rowOff>23812</xdr:rowOff>
    </xdr:from>
    <xdr:to>
      <xdr:col>4</xdr:col>
      <xdr:colOff>80962</xdr:colOff>
      <xdr:row>21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CE822-A9CE-94C6-401A-874254EA7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90487</xdr:colOff>
      <xdr:row>7</xdr:row>
      <xdr:rowOff>23812</xdr:rowOff>
    </xdr:from>
    <xdr:to>
      <xdr:col>10</xdr:col>
      <xdr:colOff>490537</xdr:colOff>
      <xdr:row>21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B9B753-7BED-BD7E-298F-2F54A30C9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1</xdr:row>
      <xdr:rowOff>3810</xdr:rowOff>
    </xdr:from>
    <xdr:to>
      <xdr:col>10</xdr:col>
      <xdr:colOff>533400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B1BAD1-D3E0-4770-B6DB-7BA2887CD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th\Google%20Drive\SIMnet%20for%20Office%202019%20working\Content%20Development\Capstone%20Projects\A%20Skills%20Approach\Excel%20Capstones\Excel%202019%20Capstone%20Level%203\EX2019-Capstone-Level3-no-VLOOKUP-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eSales"/>
      <sheetName val="TruckLoan"/>
      <sheetName val="OnlineSales"/>
      <sheetName val="BOGOSale2018"/>
      <sheetName val="TysonsStore2019"/>
      <sheetName val="TysonsStore2018"/>
      <sheetName val="OldTownStore"/>
      <sheetName val="PivotTable"/>
      <sheetName val="PivotData"/>
    </sheetNames>
    <sheetDataSet>
      <sheetData sheetId="0">
        <row r="7">
          <cell r="B7">
            <v>9900</v>
          </cell>
        </row>
      </sheetData>
      <sheetData sheetId="1" refreshError="1"/>
      <sheetData sheetId="2" refreshError="1"/>
      <sheetData sheetId="3" refreshError="1"/>
      <sheetData sheetId="4">
        <row r="2">
          <cell r="F2">
            <v>3186</v>
          </cell>
        </row>
        <row r="3">
          <cell r="F3">
            <v>2922</v>
          </cell>
        </row>
        <row r="4">
          <cell r="F4">
            <v>2196</v>
          </cell>
        </row>
        <row r="5">
          <cell r="F5">
            <v>3060</v>
          </cell>
        </row>
        <row r="6">
          <cell r="F6">
            <v>3120</v>
          </cell>
        </row>
        <row r="7">
          <cell r="F7">
            <v>2454</v>
          </cell>
        </row>
        <row r="8">
          <cell r="F8">
            <v>2250</v>
          </cell>
          <cell r="K8">
            <v>6.5167122135799778</v>
          </cell>
        </row>
        <row r="9">
          <cell r="F9">
            <v>2646</v>
          </cell>
        </row>
        <row r="10">
          <cell r="F10">
            <v>2424</v>
          </cell>
        </row>
        <row r="11">
          <cell r="F11">
            <v>720</v>
          </cell>
        </row>
        <row r="12">
          <cell r="F12">
            <v>3276</v>
          </cell>
        </row>
        <row r="13">
          <cell r="F13">
            <v>3672</v>
          </cell>
        </row>
        <row r="14">
          <cell r="F14">
            <v>2760</v>
          </cell>
        </row>
        <row r="15">
          <cell r="F15">
            <v>1884</v>
          </cell>
        </row>
        <row r="16">
          <cell r="F16">
            <v>3858</v>
          </cell>
        </row>
        <row r="17">
          <cell r="F17">
            <v>1674</v>
          </cell>
        </row>
        <row r="18">
          <cell r="F18">
            <v>2730</v>
          </cell>
        </row>
        <row r="19">
          <cell r="F19">
            <v>2820</v>
          </cell>
        </row>
        <row r="20">
          <cell r="F20">
            <v>2328</v>
          </cell>
        </row>
        <row r="21">
          <cell r="F21">
            <v>2076</v>
          </cell>
        </row>
        <row r="22">
          <cell r="F22">
            <v>2556</v>
          </cell>
        </row>
        <row r="23">
          <cell r="F23">
            <v>2880</v>
          </cell>
        </row>
        <row r="24">
          <cell r="F24">
            <v>4248</v>
          </cell>
        </row>
        <row r="25">
          <cell r="F25">
            <v>3246</v>
          </cell>
        </row>
        <row r="26">
          <cell r="F26">
            <v>4068</v>
          </cell>
        </row>
        <row r="27">
          <cell r="F27">
            <v>3444</v>
          </cell>
        </row>
        <row r="28">
          <cell r="F28">
            <v>2634</v>
          </cell>
        </row>
        <row r="29">
          <cell r="F29">
            <v>2202</v>
          </cell>
        </row>
        <row r="30">
          <cell r="F30">
            <v>2610</v>
          </cell>
        </row>
        <row r="31">
          <cell r="F31">
            <v>2910</v>
          </cell>
        </row>
        <row r="32">
          <cell r="F32">
            <v>2772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9C1D946-F071-4F4B-A6CE-8CF8B2AABB22}" autoFormatId="16" applyNumberFormats="0" applyBorderFormats="0" applyFontFormats="0" applyPatternFormats="0" applyAlignmentFormats="0" applyWidthHeightFormats="0">
  <queryTableRefresh nextId="9">
    <queryTableFields count="8">
      <queryTableField id="1" name="Title" tableColumnId="1"/>
      <queryTableField id="2" name="LastName" tableColumnId="2"/>
      <queryTableField id="3" name="FirstName" tableColumnId="3"/>
      <queryTableField id="4" name="StreetAddress" tableColumnId="4"/>
      <queryTableField id="5" name="City" tableColumnId="5"/>
      <queryTableField id="6" name="ZipCode" tableColumnId="6"/>
      <queryTableField id="7" name="Phone" tableColumnId="7"/>
      <queryTableField id="8" name="Full Name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29B23E-FFE4-4EA7-AE25-7CACC55D0AAC}" name="Table1" displayName="Table1" ref="A3:D121" totalsRowCount="1" headerRowDxfId="11" headerRowCellStyle="Normal#i04lexc/VELTyYhR+eM3cVcUAWyIEFdttGamhEGJ4xs=" dataCellStyle="Normal#i04lexc/VELTyYhR+eM3cVcUAWyIEFdttGamhEGJ4xs=">
  <autoFilter ref="A3:D120" xr:uid="{7229B23E-FFE4-4EA7-AE25-7CACC55D0AAC}">
    <filterColumn colId="3">
      <filters>
        <filter val="MD"/>
      </filters>
    </filterColumn>
  </autoFilter>
  <sortState xmlns:xlrd2="http://schemas.microsoft.com/office/spreadsheetml/2017/richdata2" ref="A4:D120">
    <sortCondition ref="C3:C120"/>
  </sortState>
  <tableColumns count="4">
    <tableColumn id="1" xr3:uid="{ECF40B1F-D92D-4987-A8F2-6D8398008F1B}" name="Date" totalsRowLabel="Total" dataDxfId="10" dataCellStyle="Normal#i04lexc/VELTyYhR+eM3cVcUAWyIEFdttGamhEGJ4xs=" totalsRowCellStyle="Normal#i04lexc/VELTyYhR+eM3cVcUAWyIEFdttGamhEGJ4xs="/>
    <tableColumn id="2" xr3:uid="{5B800CFA-9EA7-4397-A02E-FAF7F3DCF729}" name="Quantity" totalsRowFunction="sum" totalsRowDxfId="9" dataCellStyle="Normal#i04lexc/VELTyYhR+eM3cVcUAWyIEFdttGamhEGJ4xs="/>
    <tableColumn id="3" xr3:uid="{E7C9B9C3-DD9B-469A-BF97-3CB550FA98AE}" name="Item" dataCellStyle="Normal#i04lexc/VELTyYhR+eM3cVcUAWyIEFdttGamhEGJ4xs=" totalsRowCellStyle="Normal#i04lexc/VELTyYhR+eM3cVcUAWyIEFdttGamhEGJ4xs="/>
    <tableColumn id="4" xr3:uid="{56739C9F-8FE9-44FA-8E9D-B34577008FF4}" name="State" totalsRowDxfId="8" dataCellStyle="Normal#i04lexc/VELTyYhR+eM3cVcUAWyIEFdttGamhEGJ4xs=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3F9799-9237-47CE-A6DC-3E796EFD219A}" name="ToptCustomers__2" displayName="ToptCustomers__2" ref="A1:H13" tableType="queryTable" totalsRowShown="0">
  <autoFilter ref="A1:H13" xr:uid="{943F9799-9237-47CE-A6DC-3E796EFD219A}"/>
  <tableColumns count="8">
    <tableColumn id="1" xr3:uid="{33123E89-8D24-443E-9BFA-58C04E3A5205}" uniqueName="1" name="Title" queryTableFieldId="1" dataDxfId="7"/>
    <tableColumn id="2" xr3:uid="{3CBED348-964A-4AE1-AC70-E1760368F568}" uniqueName="2" name="LastName" queryTableFieldId="2" dataDxfId="6"/>
    <tableColumn id="3" xr3:uid="{9AB436E7-F5B8-4355-AD97-874ED360E231}" uniqueName="3" name="FirstName" queryTableFieldId="3" dataDxfId="5"/>
    <tableColumn id="4" xr3:uid="{66E837F7-8BD2-4CFF-9FFF-27EBB274DA7A}" uniqueName="4" name="StreetAddress" queryTableFieldId="4" dataDxfId="4"/>
    <tableColumn id="5" xr3:uid="{CF747848-5FB9-4E34-9C90-39C3597B6651}" uniqueName="5" name="City" queryTableFieldId="5" dataDxfId="3"/>
    <tableColumn id="6" xr3:uid="{834136D3-BCDB-454C-8CBE-878F7BE7C1F7}" uniqueName="6" name="ZipCode" queryTableFieldId="6"/>
    <tableColumn id="7" xr3:uid="{064C5945-DE91-4FAA-9C0A-2A736DD90A80}" uniqueName="7" name="Phone" queryTableFieldId="7" dataDxfId="2"/>
    <tableColumn id="8" xr3:uid="{A962B687-1386-437F-94C1-8A05D13DA8F3}" uniqueName="8" name="Full Name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Headlines">
  <a:themeElements>
    <a:clrScheme name="Headlines">
      <a:dk1>
        <a:sysClr val="windowText" lastClr="000000"/>
      </a:dk1>
      <a:lt1>
        <a:sysClr val="window" lastClr="FFFFFF"/>
      </a:lt1>
      <a:dk2>
        <a:srgbClr val="1D1A1D"/>
      </a:dk2>
      <a:lt2>
        <a:srgbClr val="F5F5F5"/>
      </a:lt2>
      <a:accent1>
        <a:srgbClr val="439EB7"/>
      </a:accent1>
      <a:accent2>
        <a:srgbClr val="E28B55"/>
      </a:accent2>
      <a:accent3>
        <a:srgbClr val="DCB64D"/>
      </a:accent3>
      <a:accent4>
        <a:srgbClr val="4CA198"/>
      </a:accent4>
      <a:accent5>
        <a:srgbClr val="835B82"/>
      </a:accent5>
      <a:accent6>
        <a:srgbClr val="645135"/>
      </a:accent6>
      <a:hlink>
        <a:srgbClr val="439EB7"/>
      </a:hlink>
      <a:folHlink>
        <a:srgbClr val="835B82"/>
      </a:folHlink>
    </a:clrScheme>
    <a:fontScheme name="Headlines">
      <a:majorFont>
        <a:latin typeface="Century Schoolbook" panose="020406040505050203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メイリオ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htsa.gov/rating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9D76-EC18-48B4-9149-00EE31E36C00}">
  <sheetPr>
    <pageSetUpPr fitToPage="1"/>
  </sheetPr>
  <dimension ref="A1:E8"/>
  <sheetViews>
    <sheetView topLeftCell="A2" workbookViewId="0">
      <selection activeCell="E3" sqref="E1:E1048576"/>
    </sheetView>
  </sheetViews>
  <sheetFormatPr defaultRowHeight="15" x14ac:dyDescent="0.25"/>
  <cols>
    <col min="1" max="1" width="16.875" bestFit="1" customWidth="1"/>
    <col min="2" max="2" width="14.125" bestFit="1" customWidth="1"/>
    <col min="3" max="3" width="17.125" bestFit="1" customWidth="1"/>
    <col min="4" max="4" width="10.875" bestFit="1" customWidth="1"/>
    <col min="5" max="5" width="9.75" customWidth="1"/>
  </cols>
  <sheetData>
    <row r="1" spans="1:5" ht="22.5" x14ac:dyDescent="0.3">
      <c r="A1" s="31" t="s">
        <v>46</v>
      </c>
      <c r="B1" s="31"/>
      <c r="C1" s="31"/>
      <c r="D1" s="31"/>
      <c r="E1" s="31"/>
    </row>
    <row r="2" spans="1:5" ht="19.5" x14ac:dyDescent="0.3">
      <c r="B2" s="32" t="s">
        <v>35</v>
      </c>
      <c r="C2" s="32"/>
      <c r="D2" s="32"/>
      <c r="E2" s="32"/>
    </row>
    <row r="3" spans="1:5" x14ac:dyDescent="0.25">
      <c r="B3" s="7" t="s">
        <v>36</v>
      </c>
      <c r="C3" s="7" t="s">
        <v>45</v>
      </c>
      <c r="D3" s="7" t="s">
        <v>37</v>
      </c>
      <c r="E3" s="7" t="s">
        <v>38</v>
      </c>
    </row>
    <row r="4" spans="1:5" x14ac:dyDescent="0.25">
      <c r="A4" s="1" t="s">
        <v>5</v>
      </c>
      <c r="B4" s="19">
        <v>2500</v>
      </c>
      <c r="C4" s="19">
        <v>800</v>
      </c>
      <c r="D4" s="19">
        <v>600</v>
      </c>
      <c r="E4" s="19">
        <v>900</v>
      </c>
    </row>
    <row r="5" spans="1:5" x14ac:dyDescent="0.25">
      <c r="A5" s="1" t="s">
        <v>13</v>
      </c>
      <c r="B5" s="19">
        <v>3200</v>
      </c>
      <c r="C5" s="19">
        <v>600</v>
      </c>
      <c r="D5" s="19">
        <v>1200</v>
      </c>
      <c r="E5" s="19">
        <v>1500</v>
      </c>
    </row>
    <row r="6" spans="1:5" x14ac:dyDescent="0.25">
      <c r="A6" s="1" t="s">
        <v>10</v>
      </c>
      <c r="B6" s="19">
        <v>4200</v>
      </c>
      <c r="C6" s="19">
        <v>1500</v>
      </c>
      <c r="D6" s="19">
        <v>1400</v>
      </c>
      <c r="E6" s="19">
        <v>1200</v>
      </c>
    </row>
    <row r="7" spans="1:5" ht="15.75" thickBot="1" x14ac:dyDescent="0.3">
      <c r="A7" s="30" t="s">
        <v>47</v>
      </c>
      <c r="B7" s="20">
        <f>SUM(B4:B6)</f>
        <v>9900</v>
      </c>
      <c r="C7" s="20">
        <f t="shared" ref="C7:E7" si="0">SUM(C4:C6)</f>
        <v>2900</v>
      </c>
      <c r="D7" s="20">
        <f t="shared" si="0"/>
        <v>3200</v>
      </c>
      <c r="E7" s="20">
        <f t="shared" si="0"/>
        <v>3600</v>
      </c>
    </row>
    <row r="8" spans="1:5" ht="15.75" thickTop="1" x14ac:dyDescent="0.25"/>
  </sheetData>
  <mergeCells count="2">
    <mergeCell ref="A1:E1"/>
    <mergeCell ref="B2:E2"/>
  </mergeCells>
  <pageMargins left="9.8425196850393706E-2" right="9.8425196850393706E-2" top="0.29527559055118108" bottom="0.29527559055118108" header="0.31496062992125984" footer="0.31496062992125984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7012-FB11-484E-B2C4-CEE04EE446C4}">
  <dimension ref="A1:B12"/>
  <sheetViews>
    <sheetView tabSelected="1" workbookViewId="0">
      <selection activeCell="B9" sqref="B9"/>
    </sheetView>
  </sheetViews>
  <sheetFormatPr defaultRowHeight="15" x14ac:dyDescent="0.25"/>
  <cols>
    <col min="1" max="1" width="16" style="1" bestFit="1" customWidth="1"/>
    <col min="2" max="2" width="16.625" style="1" customWidth="1"/>
  </cols>
  <sheetData>
    <row r="1" spans="1:2" x14ac:dyDescent="0.25">
      <c r="A1" s="1" t="s">
        <v>39</v>
      </c>
      <c r="B1" s="16">
        <v>55000</v>
      </c>
    </row>
    <row r="2" spans="1:2" x14ac:dyDescent="0.25">
      <c r="A2" s="1" t="s">
        <v>40</v>
      </c>
      <c r="B2" s="17">
        <v>0.03</v>
      </c>
    </row>
    <row r="3" spans="1:2" x14ac:dyDescent="0.25">
      <c r="A3" s="1" t="s">
        <v>41</v>
      </c>
      <c r="B3" s="1">
        <v>24</v>
      </c>
    </row>
    <row r="4" spans="1:2" x14ac:dyDescent="0.25">
      <c r="A4" s="1" t="s">
        <v>42</v>
      </c>
      <c r="B4" s="18">
        <f>PMT(B2/12,B3,-B1)</f>
        <v>2363.9666588755858</v>
      </c>
    </row>
    <row r="5" spans="1:2" ht="15.75" thickBot="1" x14ac:dyDescent="0.3"/>
    <row r="6" spans="1:2" x14ac:dyDescent="0.25">
      <c r="A6" s="21" t="s">
        <v>43</v>
      </c>
      <c r="B6" s="22">
        <f>B4*B3</f>
        <v>56735.199813014056</v>
      </c>
    </row>
    <row r="7" spans="1:2" ht="15.75" thickBot="1" x14ac:dyDescent="0.3">
      <c r="A7" s="23" t="s">
        <v>44</v>
      </c>
      <c r="B7" s="24">
        <f>B6-B1</f>
        <v>1735.1998130140564</v>
      </c>
    </row>
    <row r="9" spans="1:2" x14ac:dyDescent="0.25">
      <c r="A9" s="25" t="s">
        <v>48</v>
      </c>
      <c r="B9" s="29">
        <f>AVERAGE(MobileSales!B7:E7)</f>
        <v>4900</v>
      </c>
    </row>
    <row r="10" spans="1:2" x14ac:dyDescent="0.25">
      <c r="A10" s="25" t="s">
        <v>49</v>
      </c>
      <c r="B10" s="1" t="str">
        <f>IF(B4&lt;B9,"Yes","No")</f>
        <v>Yes</v>
      </c>
    </row>
    <row r="12" spans="1:2" x14ac:dyDescent="0.25">
      <c r="A12" s="26" t="s">
        <v>50</v>
      </c>
    </row>
  </sheetData>
  <hyperlinks>
    <hyperlink ref="A12" r:id="rId1" xr:uid="{E84A0729-69D4-41B2-A4CD-7ACFD04DAB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workbookViewId="0">
      <selection activeCell="G31" sqref="G31"/>
    </sheetView>
  </sheetViews>
  <sheetFormatPr defaultColWidth="8.875" defaultRowHeight="15" x14ac:dyDescent="0.25"/>
  <cols>
    <col min="1" max="1" width="12.25" style="1" customWidth="1"/>
    <col min="2" max="2" width="10.25" style="1" customWidth="1"/>
    <col min="3" max="3" width="20.25" style="1" customWidth="1"/>
  </cols>
  <sheetData>
    <row r="1" spans="1:5" x14ac:dyDescent="0.25">
      <c r="A1" s="33" t="s">
        <v>0</v>
      </c>
      <c r="B1" s="33"/>
      <c r="C1" s="33"/>
      <c r="D1" s="33"/>
    </row>
    <row r="2" spans="1:5" x14ac:dyDescent="0.25">
      <c r="A2" s="2"/>
      <c r="B2" s="2"/>
      <c r="C2" s="2"/>
      <c r="D2" s="2"/>
    </row>
    <row r="3" spans="1:5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5" x14ac:dyDescent="0.25">
      <c r="A4" s="4">
        <v>44407</v>
      </c>
      <c r="B4" s="1">
        <v>13</v>
      </c>
      <c r="C4" s="1" t="s">
        <v>5</v>
      </c>
      <c r="D4" s="1" t="s">
        <v>6</v>
      </c>
      <c r="E4" s="4"/>
    </row>
    <row r="5" spans="1:5" x14ac:dyDescent="0.25">
      <c r="A5" s="4">
        <v>44407</v>
      </c>
      <c r="B5" s="1">
        <v>17</v>
      </c>
      <c r="C5" s="1" t="s">
        <v>5</v>
      </c>
      <c r="D5" s="1" t="s">
        <v>6</v>
      </c>
      <c r="E5" s="4"/>
    </row>
    <row r="6" spans="1:5" hidden="1" x14ac:dyDescent="0.25">
      <c r="A6" s="4">
        <v>44407</v>
      </c>
      <c r="B6" s="1">
        <v>24</v>
      </c>
      <c r="C6" s="1" t="s">
        <v>5</v>
      </c>
      <c r="D6" s="1" t="s">
        <v>12</v>
      </c>
      <c r="E6" s="4"/>
    </row>
    <row r="7" spans="1:5" hidden="1" x14ac:dyDescent="0.25">
      <c r="A7" s="4">
        <v>44407</v>
      </c>
      <c r="B7" s="1">
        <v>9</v>
      </c>
      <c r="C7" s="1" t="s">
        <v>5</v>
      </c>
      <c r="D7" s="1" t="s">
        <v>12</v>
      </c>
      <c r="E7" s="4"/>
    </row>
    <row r="8" spans="1:5" hidden="1" x14ac:dyDescent="0.25">
      <c r="A8" s="4">
        <v>44408</v>
      </c>
      <c r="B8" s="1">
        <v>11</v>
      </c>
      <c r="C8" s="1" t="s">
        <v>5</v>
      </c>
      <c r="D8" s="1" t="s">
        <v>20</v>
      </c>
      <c r="E8" s="4"/>
    </row>
    <row r="9" spans="1:5" x14ac:dyDescent="0.25">
      <c r="A9" s="4">
        <v>44408</v>
      </c>
      <c r="B9" s="1">
        <v>17</v>
      </c>
      <c r="C9" s="1" t="s">
        <v>5</v>
      </c>
      <c r="D9" s="1" t="s">
        <v>6</v>
      </c>
      <c r="E9" s="4"/>
    </row>
    <row r="10" spans="1:5" x14ac:dyDescent="0.25">
      <c r="A10" s="4">
        <v>44408</v>
      </c>
      <c r="B10" s="1">
        <v>21</v>
      </c>
      <c r="C10" s="1" t="s">
        <v>5</v>
      </c>
      <c r="D10" s="1" t="s">
        <v>6</v>
      </c>
      <c r="E10" s="4"/>
    </row>
    <row r="11" spans="1:5" x14ac:dyDescent="0.25">
      <c r="A11" s="4">
        <v>44408</v>
      </c>
      <c r="B11" s="1">
        <v>9</v>
      </c>
      <c r="C11" s="1" t="s">
        <v>5</v>
      </c>
      <c r="D11" s="1" t="s">
        <v>6</v>
      </c>
      <c r="E11" s="4"/>
    </row>
    <row r="12" spans="1:5" hidden="1" x14ac:dyDescent="0.25">
      <c r="A12" s="4">
        <v>44408</v>
      </c>
      <c r="B12" s="1">
        <v>9</v>
      </c>
      <c r="C12" s="1" t="s">
        <v>5</v>
      </c>
      <c r="D12" s="1" t="s">
        <v>14</v>
      </c>
      <c r="E12" s="4"/>
    </row>
    <row r="13" spans="1:5" x14ac:dyDescent="0.25">
      <c r="A13" s="4">
        <v>44409</v>
      </c>
      <c r="B13" s="1">
        <v>31</v>
      </c>
      <c r="C13" s="1" t="s">
        <v>5</v>
      </c>
      <c r="D13" s="1" t="s">
        <v>6</v>
      </c>
      <c r="E13" s="4"/>
    </row>
    <row r="14" spans="1:5" hidden="1" x14ac:dyDescent="0.25">
      <c r="A14" s="4">
        <v>44409</v>
      </c>
      <c r="B14" s="1">
        <v>9</v>
      </c>
      <c r="C14" s="1" t="s">
        <v>5</v>
      </c>
      <c r="D14" s="1" t="s">
        <v>15</v>
      </c>
      <c r="E14" s="4"/>
    </row>
    <row r="15" spans="1:5" hidden="1" x14ac:dyDescent="0.25">
      <c r="A15" s="4">
        <v>44409</v>
      </c>
      <c r="B15" s="1">
        <v>13</v>
      </c>
      <c r="C15" s="1" t="s">
        <v>5</v>
      </c>
      <c r="D15" s="1" t="s">
        <v>14</v>
      </c>
      <c r="E15" s="4"/>
    </row>
    <row r="16" spans="1:5" x14ac:dyDescent="0.25">
      <c r="A16" s="4">
        <v>44409</v>
      </c>
      <c r="B16" s="1">
        <v>17</v>
      </c>
      <c r="C16" s="1" t="s">
        <v>5</v>
      </c>
      <c r="D16" s="1" t="s">
        <v>6</v>
      </c>
      <c r="E16" s="4"/>
    </row>
    <row r="17" spans="1:5" hidden="1" x14ac:dyDescent="0.25">
      <c r="A17" s="4">
        <v>44409</v>
      </c>
      <c r="B17" s="1">
        <v>11</v>
      </c>
      <c r="C17" s="1" t="s">
        <v>5</v>
      </c>
      <c r="D17" s="1" t="s">
        <v>21</v>
      </c>
      <c r="E17" s="4"/>
    </row>
    <row r="18" spans="1:5" hidden="1" x14ac:dyDescent="0.25">
      <c r="A18" s="4">
        <v>44410</v>
      </c>
      <c r="B18" s="1">
        <v>13</v>
      </c>
      <c r="C18" s="1" t="s">
        <v>5</v>
      </c>
      <c r="D18" s="1" t="s">
        <v>19</v>
      </c>
      <c r="E18" s="4"/>
    </row>
    <row r="19" spans="1:5" hidden="1" x14ac:dyDescent="0.25">
      <c r="A19" s="4">
        <v>44410</v>
      </c>
      <c r="B19" s="1">
        <v>22</v>
      </c>
      <c r="C19" s="1" t="s">
        <v>5</v>
      </c>
      <c r="D19" s="1" t="s">
        <v>8</v>
      </c>
      <c r="E19" s="4"/>
    </row>
    <row r="20" spans="1:5" hidden="1" x14ac:dyDescent="0.25">
      <c r="A20" s="4">
        <v>44410</v>
      </c>
      <c r="B20" s="1">
        <v>16</v>
      </c>
      <c r="C20" s="1" t="s">
        <v>5</v>
      </c>
      <c r="D20" s="1" t="s">
        <v>9</v>
      </c>
      <c r="E20" s="4"/>
    </row>
    <row r="21" spans="1:5" hidden="1" x14ac:dyDescent="0.25">
      <c r="A21" s="4">
        <v>44411</v>
      </c>
      <c r="B21" s="1">
        <v>11</v>
      </c>
      <c r="C21" s="1" t="s">
        <v>5</v>
      </c>
      <c r="D21" s="1" t="s">
        <v>9</v>
      </c>
      <c r="E21" s="4"/>
    </row>
    <row r="22" spans="1:5" hidden="1" x14ac:dyDescent="0.25">
      <c r="A22" s="4">
        <v>44411</v>
      </c>
      <c r="B22" s="1">
        <v>34</v>
      </c>
      <c r="C22" s="1" t="s">
        <v>5</v>
      </c>
      <c r="D22" s="1" t="s">
        <v>15</v>
      </c>
      <c r="E22" s="4"/>
    </row>
    <row r="23" spans="1:5" x14ac:dyDescent="0.25">
      <c r="A23" s="4">
        <v>44412</v>
      </c>
      <c r="B23" s="1">
        <v>28</v>
      </c>
      <c r="C23" s="1" t="s">
        <v>5</v>
      </c>
      <c r="D23" s="1" t="s">
        <v>6</v>
      </c>
      <c r="E23" s="4"/>
    </row>
    <row r="24" spans="1:5" hidden="1" x14ac:dyDescent="0.25">
      <c r="A24" s="4">
        <v>44412</v>
      </c>
      <c r="B24" s="1">
        <v>31</v>
      </c>
      <c r="C24" s="1" t="s">
        <v>5</v>
      </c>
      <c r="D24" s="1" t="s">
        <v>15</v>
      </c>
      <c r="E24" s="4"/>
    </row>
    <row r="25" spans="1:5" x14ac:dyDescent="0.25">
      <c r="A25" s="4">
        <v>44412</v>
      </c>
      <c r="B25" s="1">
        <v>12</v>
      </c>
      <c r="C25" s="1" t="s">
        <v>5</v>
      </c>
      <c r="D25" s="1" t="s">
        <v>6</v>
      </c>
      <c r="E25" s="4"/>
    </row>
    <row r="26" spans="1:5" x14ac:dyDescent="0.25">
      <c r="A26" s="4">
        <v>44412</v>
      </c>
      <c r="B26" s="1">
        <v>32</v>
      </c>
      <c r="C26" s="1" t="s">
        <v>5</v>
      </c>
      <c r="D26" s="1" t="s">
        <v>6</v>
      </c>
      <c r="E26" s="4"/>
    </row>
    <row r="27" spans="1:5" hidden="1" x14ac:dyDescent="0.25">
      <c r="A27" s="4">
        <v>44412</v>
      </c>
      <c r="B27" s="1">
        <v>20</v>
      </c>
      <c r="C27" s="1" t="s">
        <v>5</v>
      </c>
      <c r="D27" s="1" t="s">
        <v>14</v>
      </c>
      <c r="E27" s="4"/>
    </row>
    <row r="28" spans="1:5" x14ac:dyDescent="0.25">
      <c r="A28" s="4">
        <v>44412</v>
      </c>
      <c r="B28" s="1">
        <v>35</v>
      </c>
      <c r="C28" s="1" t="s">
        <v>5</v>
      </c>
      <c r="D28" s="1" t="s">
        <v>6</v>
      </c>
      <c r="E28" s="4"/>
    </row>
    <row r="29" spans="1:5" hidden="1" x14ac:dyDescent="0.25">
      <c r="A29" s="4">
        <v>44412</v>
      </c>
      <c r="B29" s="1">
        <v>16</v>
      </c>
      <c r="C29" s="1" t="s">
        <v>5</v>
      </c>
      <c r="D29" s="1" t="s">
        <v>14</v>
      </c>
      <c r="E29" s="4"/>
    </row>
    <row r="30" spans="1:5" hidden="1" x14ac:dyDescent="0.25">
      <c r="A30" s="4">
        <v>44412</v>
      </c>
      <c r="B30" s="1">
        <v>23</v>
      </c>
      <c r="C30" s="1" t="s">
        <v>5</v>
      </c>
      <c r="D30" s="1" t="s">
        <v>21</v>
      </c>
      <c r="E30" s="4"/>
    </row>
    <row r="31" spans="1:5" x14ac:dyDescent="0.25">
      <c r="A31" s="4">
        <v>44413</v>
      </c>
      <c r="B31" s="1">
        <v>12</v>
      </c>
      <c r="C31" s="1" t="s">
        <v>5</v>
      </c>
      <c r="D31" s="1" t="s">
        <v>6</v>
      </c>
      <c r="E31" s="4"/>
    </row>
    <row r="32" spans="1:5" x14ac:dyDescent="0.25">
      <c r="A32" s="4">
        <v>44413</v>
      </c>
      <c r="B32" s="1">
        <v>13</v>
      </c>
      <c r="C32" s="1" t="s">
        <v>5</v>
      </c>
      <c r="D32" s="1" t="s">
        <v>6</v>
      </c>
      <c r="E32" s="4"/>
    </row>
    <row r="33" spans="1:5" hidden="1" x14ac:dyDescent="0.25">
      <c r="A33" s="4">
        <v>44413</v>
      </c>
      <c r="B33" s="1">
        <v>34</v>
      </c>
      <c r="C33" s="1" t="s">
        <v>5</v>
      </c>
      <c r="D33" s="1" t="s">
        <v>21</v>
      </c>
      <c r="E33" s="4"/>
    </row>
    <row r="34" spans="1:5" hidden="1" x14ac:dyDescent="0.25">
      <c r="A34" s="4">
        <v>44413</v>
      </c>
      <c r="B34" s="1">
        <v>32</v>
      </c>
      <c r="C34" s="1" t="s">
        <v>5</v>
      </c>
      <c r="D34" s="1" t="s">
        <v>15</v>
      </c>
      <c r="E34" s="4"/>
    </row>
    <row r="35" spans="1:5" hidden="1" x14ac:dyDescent="0.25">
      <c r="A35" s="4">
        <v>44413</v>
      </c>
      <c r="B35" s="1">
        <v>9</v>
      </c>
      <c r="C35" s="1" t="s">
        <v>5</v>
      </c>
      <c r="D35" s="1" t="s">
        <v>18</v>
      </c>
      <c r="E35" s="4"/>
    </row>
    <row r="36" spans="1:5" hidden="1" x14ac:dyDescent="0.25">
      <c r="A36" s="4">
        <v>44407</v>
      </c>
      <c r="B36" s="1">
        <v>9</v>
      </c>
      <c r="C36" s="1" t="s">
        <v>7</v>
      </c>
      <c r="D36" s="1" t="s">
        <v>8</v>
      </c>
      <c r="E36" s="4"/>
    </row>
    <row r="37" spans="1:5" hidden="1" x14ac:dyDescent="0.25">
      <c r="A37" s="4">
        <v>44407</v>
      </c>
      <c r="B37" s="1">
        <v>28</v>
      </c>
      <c r="C37" s="1" t="s">
        <v>7</v>
      </c>
      <c r="D37" s="1" t="s">
        <v>9</v>
      </c>
      <c r="E37" s="4"/>
    </row>
    <row r="38" spans="1:5" hidden="1" x14ac:dyDescent="0.25">
      <c r="A38" s="4">
        <v>44407</v>
      </c>
      <c r="B38" s="1">
        <v>20</v>
      </c>
      <c r="C38" s="1" t="s">
        <v>7</v>
      </c>
      <c r="D38" s="1" t="s">
        <v>16</v>
      </c>
      <c r="E38" s="4"/>
    </row>
    <row r="39" spans="1:5" hidden="1" x14ac:dyDescent="0.25">
      <c r="A39" s="4">
        <v>44407</v>
      </c>
      <c r="B39" s="1">
        <v>24</v>
      </c>
      <c r="C39" s="1" t="s">
        <v>7</v>
      </c>
      <c r="D39" s="1" t="s">
        <v>18</v>
      </c>
      <c r="E39" s="4"/>
    </row>
    <row r="40" spans="1:5" hidden="1" x14ac:dyDescent="0.25">
      <c r="A40" s="4">
        <v>44407</v>
      </c>
      <c r="B40" s="1">
        <v>14</v>
      </c>
      <c r="C40" s="1" t="s">
        <v>7</v>
      </c>
      <c r="D40" s="1" t="s">
        <v>14</v>
      </c>
      <c r="E40" s="4"/>
    </row>
    <row r="41" spans="1:5" hidden="1" x14ac:dyDescent="0.25">
      <c r="A41" s="4">
        <v>44408</v>
      </c>
      <c r="B41" s="1">
        <v>28</v>
      </c>
      <c r="C41" s="1" t="s">
        <v>7</v>
      </c>
      <c r="D41" s="1" t="s">
        <v>16</v>
      </c>
      <c r="E41" s="4"/>
    </row>
    <row r="42" spans="1:5" hidden="1" x14ac:dyDescent="0.25">
      <c r="A42" s="4">
        <v>44408</v>
      </c>
      <c r="B42" s="1">
        <v>31</v>
      </c>
      <c r="C42" s="1" t="s">
        <v>7</v>
      </c>
      <c r="D42" s="1" t="s">
        <v>18</v>
      </c>
      <c r="E42" s="4"/>
    </row>
    <row r="43" spans="1:5" hidden="1" x14ac:dyDescent="0.25">
      <c r="A43" s="4">
        <v>44408</v>
      </c>
      <c r="B43" s="1">
        <v>21</v>
      </c>
      <c r="C43" s="1" t="s">
        <v>7</v>
      </c>
      <c r="D43" s="1" t="s">
        <v>14</v>
      </c>
      <c r="E43" s="4"/>
    </row>
    <row r="44" spans="1:5" hidden="1" x14ac:dyDescent="0.25">
      <c r="A44" s="4">
        <v>44408</v>
      </c>
      <c r="B44" s="1">
        <v>27</v>
      </c>
      <c r="C44" s="1" t="s">
        <v>7</v>
      </c>
      <c r="D44" s="1" t="s">
        <v>21</v>
      </c>
      <c r="E44" s="4"/>
    </row>
    <row r="45" spans="1:5" hidden="1" x14ac:dyDescent="0.25">
      <c r="A45" s="4">
        <v>44408</v>
      </c>
      <c r="B45" s="1">
        <v>28</v>
      </c>
      <c r="C45" s="1" t="s">
        <v>7</v>
      </c>
      <c r="D45" s="1" t="s">
        <v>8</v>
      </c>
      <c r="E45" s="4"/>
    </row>
    <row r="46" spans="1:5" hidden="1" x14ac:dyDescent="0.25">
      <c r="A46" s="4">
        <v>44409</v>
      </c>
      <c r="B46" s="1">
        <v>25</v>
      </c>
      <c r="C46" s="1" t="s">
        <v>7</v>
      </c>
      <c r="D46" s="1" t="s">
        <v>16</v>
      </c>
      <c r="E46" s="4"/>
    </row>
    <row r="47" spans="1:5" hidden="1" x14ac:dyDescent="0.25">
      <c r="A47" s="4">
        <v>44409</v>
      </c>
      <c r="B47" s="1">
        <v>16</v>
      </c>
      <c r="C47" s="1" t="s">
        <v>7</v>
      </c>
      <c r="D47" s="1" t="s">
        <v>15</v>
      </c>
      <c r="E47" s="4"/>
    </row>
    <row r="48" spans="1:5" hidden="1" x14ac:dyDescent="0.25">
      <c r="A48" s="4">
        <v>44409</v>
      </c>
      <c r="B48" s="1">
        <v>30</v>
      </c>
      <c r="C48" s="1" t="s">
        <v>7</v>
      </c>
      <c r="D48" s="1" t="s">
        <v>19</v>
      </c>
      <c r="E48" s="4"/>
    </row>
    <row r="49" spans="1:5" hidden="1" x14ac:dyDescent="0.25">
      <c r="A49" s="4">
        <v>44409</v>
      </c>
      <c r="B49" s="1">
        <v>17</v>
      </c>
      <c r="C49" s="1" t="s">
        <v>7</v>
      </c>
      <c r="D49" s="1" t="s">
        <v>21</v>
      </c>
      <c r="E49" s="4"/>
    </row>
    <row r="50" spans="1:5" hidden="1" x14ac:dyDescent="0.25">
      <c r="A50" s="4">
        <v>44409</v>
      </c>
      <c r="B50" s="1">
        <v>25</v>
      </c>
      <c r="C50" s="1" t="s">
        <v>7</v>
      </c>
      <c r="D50" s="1" t="s">
        <v>8</v>
      </c>
      <c r="E50" s="4"/>
    </row>
    <row r="51" spans="1:5" hidden="1" x14ac:dyDescent="0.25">
      <c r="A51" s="4">
        <v>44409</v>
      </c>
      <c r="B51" s="1">
        <v>20</v>
      </c>
      <c r="C51" s="1" t="s">
        <v>7</v>
      </c>
      <c r="D51" s="1" t="s">
        <v>16</v>
      </c>
      <c r="E51" s="4"/>
    </row>
    <row r="52" spans="1:5" hidden="1" x14ac:dyDescent="0.25">
      <c r="A52" s="4">
        <v>44409</v>
      </c>
      <c r="B52" s="1">
        <v>10</v>
      </c>
      <c r="C52" s="1" t="s">
        <v>7</v>
      </c>
      <c r="D52" s="1" t="s">
        <v>22</v>
      </c>
      <c r="E52" s="4"/>
    </row>
    <row r="53" spans="1:5" hidden="1" x14ac:dyDescent="0.25">
      <c r="A53" s="4">
        <v>44410</v>
      </c>
      <c r="B53" s="1">
        <v>33</v>
      </c>
      <c r="C53" s="1" t="s">
        <v>7</v>
      </c>
      <c r="D53" s="1" t="s">
        <v>8</v>
      </c>
      <c r="E53" s="4"/>
    </row>
    <row r="54" spans="1:5" hidden="1" x14ac:dyDescent="0.25">
      <c r="A54" s="4">
        <v>44410</v>
      </c>
      <c r="B54" s="1">
        <v>33</v>
      </c>
      <c r="C54" s="1" t="s">
        <v>7</v>
      </c>
      <c r="D54" s="1" t="s">
        <v>19</v>
      </c>
      <c r="E54" s="4"/>
    </row>
    <row r="55" spans="1:5" hidden="1" x14ac:dyDescent="0.25">
      <c r="A55" s="4">
        <v>44411</v>
      </c>
      <c r="B55" s="1">
        <v>25</v>
      </c>
      <c r="C55" s="1" t="s">
        <v>7</v>
      </c>
      <c r="D55" s="1" t="s">
        <v>16</v>
      </c>
      <c r="E55" s="4"/>
    </row>
    <row r="56" spans="1:5" hidden="1" x14ac:dyDescent="0.25">
      <c r="A56" s="4">
        <v>44411</v>
      </c>
      <c r="B56" s="1">
        <v>24</v>
      </c>
      <c r="C56" s="1" t="s">
        <v>7</v>
      </c>
      <c r="D56" s="1" t="s">
        <v>17</v>
      </c>
      <c r="E56" s="4"/>
    </row>
    <row r="57" spans="1:5" hidden="1" x14ac:dyDescent="0.25">
      <c r="A57" s="4">
        <v>44411</v>
      </c>
      <c r="B57" s="1">
        <v>22</v>
      </c>
      <c r="C57" s="1" t="s">
        <v>7</v>
      </c>
      <c r="D57" s="1" t="s">
        <v>9</v>
      </c>
      <c r="E57" s="4"/>
    </row>
    <row r="58" spans="1:5" x14ac:dyDescent="0.25">
      <c r="A58" s="4">
        <v>44412</v>
      </c>
      <c r="B58" s="1">
        <v>21</v>
      </c>
      <c r="C58" s="1" t="s">
        <v>7</v>
      </c>
      <c r="D58" s="1" t="s">
        <v>6</v>
      </c>
      <c r="E58" s="4"/>
    </row>
    <row r="59" spans="1:5" hidden="1" x14ac:dyDescent="0.25">
      <c r="A59" s="4">
        <v>44412</v>
      </c>
      <c r="B59" s="1">
        <v>33</v>
      </c>
      <c r="C59" s="1" t="s">
        <v>7</v>
      </c>
      <c r="D59" s="1" t="s">
        <v>16</v>
      </c>
      <c r="E59" s="4"/>
    </row>
    <row r="60" spans="1:5" hidden="1" x14ac:dyDescent="0.25">
      <c r="A60" s="4">
        <v>44412</v>
      </c>
      <c r="B60" s="1">
        <v>24</v>
      </c>
      <c r="C60" s="1" t="s">
        <v>7</v>
      </c>
      <c r="D60" s="1" t="s">
        <v>8</v>
      </c>
      <c r="E60" s="4"/>
    </row>
    <row r="61" spans="1:5" hidden="1" x14ac:dyDescent="0.25">
      <c r="A61" s="4">
        <v>44412</v>
      </c>
      <c r="B61" s="1">
        <v>18</v>
      </c>
      <c r="C61" s="1" t="s">
        <v>7</v>
      </c>
      <c r="D61" s="1" t="s">
        <v>9</v>
      </c>
      <c r="E61" s="4"/>
    </row>
    <row r="62" spans="1:5" x14ac:dyDescent="0.25">
      <c r="A62" s="4">
        <v>44412</v>
      </c>
      <c r="B62" s="1">
        <v>26</v>
      </c>
      <c r="C62" s="1" t="s">
        <v>7</v>
      </c>
      <c r="D62" s="1" t="s">
        <v>6</v>
      </c>
      <c r="E62" s="4"/>
    </row>
    <row r="63" spans="1:5" hidden="1" x14ac:dyDescent="0.25">
      <c r="A63" s="4">
        <v>44412</v>
      </c>
      <c r="B63" s="1">
        <v>32</v>
      </c>
      <c r="C63" s="1" t="s">
        <v>7</v>
      </c>
      <c r="D63" s="1" t="s">
        <v>14</v>
      </c>
      <c r="E63" s="4"/>
    </row>
    <row r="64" spans="1:5" hidden="1" x14ac:dyDescent="0.25">
      <c r="A64" s="4">
        <v>44412</v>
      </c>
      <c r="B64" s="1">
        <v>22</v>
      </c>
      <c r="C64" s="1" t="s">
        <v>7</v>
      </c>
      <c r="D64" s="1" t="s">
        <v>18</v>
      </c>
      <c r="E64" s="4"/>
    </row>
    <row r="65" spans="1:5" hidden="1" x14ac:dyDescent="0.25">
      <c r="A65" s="4">
        <v>44412</v>
      </c>
      <c r="B65" s="1">
        <v>14</v>
      </c>
      <c r="C65" s="1" t="s">
        <v>7</v>
      </c>
      <c r="D65" s="1" t="s">
        <v>21</v>
      </c>
      <c r="E65" s="4"/>
    </row>
    <row r="66" spans="1:5" hidden="1" x14ac:dyDescent="0.25">
      <c r="A66" s="4">
        <v>44413</v>
      </c>
      <c r="B66" s="1">
        <v>21</v>
      </c>
      <c r="C66" s="1" t="s">
        <v>7</v>
      </c>
      <c r="D66" s="1" t="s">
        <v>9</v>
      </c>
      <c r="E66" s="4"/>
    </row>
    <row r="67" spans="1:5" x14ac:dyDescent="0.25">
      <c r="A67" s="4">
        <v>44413</v>
      </c>
      <c r="B67" s="1">
        <v>10</v>
      </c>
      <c r="C67" s="1" t="s">
        <v>7</v>
      </c>
      <c r="D67" s="1" t="s">
        <v>6</v>
      </c>
      <c r="E67" s="4"/>
    </row>
    <row r="68" spans="1:5" hidden="1" x14ac:dyDescent="0.25">
      <c r="A68" s="4">
        <v>44413</v>
      </c>
      <c r="B68" s="1">
        <v>11</v>
      </c>
      <c r="C68" s="1" t="s">
        <v>7</v>
      </c>
      <c r="D68" s="1" t="s">
        <v>21</v>
      </c>
      <c r="E68" s="4"/>
    </row>
    <row r="69" spans="1:5" hidden="1" x14ac:dyDescent="0.25">
      <c r="A69" s="4">
        <v>44413</v>
      </c>
      <c r="B69" s="1">
        <v>16</v>
      </c>
      <c r="C69" s="1" t="s">
        <v>7</v>
      </c>
      <c r="D69" s="1" t="s">
        <v>21</v>
      </c>
      <c r="E69" s="4"/>
    </row>
    <row r="70" spans="1:5" hidden="1" x14ac:dyDescent="0.25">
      <c r="A70" s="4">
        <v>44407</v>
      </c>
      <c r="B70" s="1">
        <v>9</v>
      </c>
      <c r="C70" s="1" t="s">
        <v>10</v>
      </c>
      <c r="D70" s="1" t="s">
        <v>11</v>
      </c>
      <c r="E70" s="4"/>
    </row>
    <row r="71" spans="1:5" hidden="1" x14ac:dyDescent="0.25">
      <c r="A71" s="4">
        <v>44407</v>
      </c>
      <c r="B71" s="1">
        <v>21</v>
      </c>
      <c r="C71" s="1" t="s">
        <v>10</v>
      </c>
      <c r="D71" s="1" t="s">
        <v>12</v>
      </c>
      <c r="E71" s="4"/>
    </row>
    <row r="72" spans="1:5" hidden="1" x14ac:dyDescent="0.25">
      <c r="A72" s="4">
        <v>44407</v>
      </c>
      <c r="B72" s="1">
        <v>16</v>
      </c>
      <c r="C72" s="1" t="s">
        <v>10</v>
      </c>
      <c r="D72" s="1" t="s">
        <v>17</v>
      </c>
      <c r="E72" s="4"/>
    </row>
    <row r="73" spans="1:5" hidden="1" x14ac:dyDescent="0.25">
      <c r="A73" s="4">
        <v>44407</v>
      </c>
      <c r="B73" s="1">
        <v>32</v>
      </c>
      <c r="C73" s="1" t="s">
        <v>10</v>
      </c>
      <c r="D73" s="1" t="s">
        <v>19</v>
      </c>
      <c r="E73" s="4"/>
    </row>
    <row r="74" spans="1:5" hidden="1" x14ac:dyDescent="0.25">
      <c r="A74" s="4">
        <v>44408</v>
      </c>
      <c r="B74" s="1">
        <v>12</v>
      </c>
      <c r="C74" s="1" t="s">
        <v>10</v>
      </c>
      <c r="D74" s="1" t="s">
        <v>8</v>
      </c>
      <c r="E74" s="4"/>
    </row>
    <row r="75" spans="1:5" hidden="1" x14ac:dyDescent="0.25">
      <c r="A75" s="4">
        <v>44408</v>
      </c>
      <c r="B75" s="1">
        <v>30</v>
      </c>
      <c r="C75" s="1" t="s">
        <v>10</v>
      </c>
      <c r="D75" s="1" t="s">
        <v>17</v>
      </c>
      <c r="E75" s="4"/>
    </row>
    <row r="76" spans="1:5" hidden="1" x14ac:dyDescent="0.25">
      <c r="A76" s="4">
        <v>44408</v>
      </c>
      <c r="B76" s="1">
        <v>13</v>
      </c>
      <c r="C76" s="1" t="s">
        <v>10</v>
      </c>
      <c r="D76" s="1" t="s">
        <v>9</v>
      </c>
      <c r="E76" s="4"/>
    </row>
    <row r="77" spans="1:5" hidden="1" x14ac:dyDescent="0.25">
      <c r="A77" s="4">
        <v>44408</v>
      </c>
      <c r="B77" s="1">
        <v>11</v>
      </c>
      <c r="C77" s="1" t="s">
        <v>10</v>
      </c>
      <c r="D77" s="1" t="s">
        <v>11</v>
      </c>
      <c r="E77" s="4"/>
    </row>
    <row r="78" spans="1:5" hidden="1" x14ac:dyDescent="0.25">
      <c r="A78" s="4">
        <v>44408</v>
      </c>
      <c r="B78" s="1">
        <v>16</v>
      </c>
      <c r="C78" s="1" t="s">
        <v>10</v>
      </c>
      <c r="D78" s="1" t="s">
        <v>17</v>
      </c>
      <c r="E78" s="4"/>
    </row>
    <row r="79" spans="1:5" hidden="1" x14ac:dyDescent="0.25">
      <c r="A79" s="4">
        <v>44409</v>
      </c>
      <c r="B79" s="1">
        <v>12</v>
      </c>
      <c r="C79" s="1" t="s">
        <v>10</v>
      </c>
      <c r="D79" s="1" t="s">
        <v>17</v>
      </c>
      <c r="E79" s="4"/>
    </row>
    <row r="80" spans="1:5" hidden="1" x14ac:dyDescent="0.25">
      <c r="A80" s="4">
        <v>44409</v>
      </c>
      <c r="B80" s="1">
        <v>21</v>
      </c>
      <c r="C80" s="1" t="s">
        <v>10</v>
      </c>
      <c r="D80" s="1" t="s">
        <v>16</v>
      </c>
      <c r="E80" s="4"/>
    </row>
    <row r="81" spans="1:5" hidden="1" x14ac:dyDescent="0.25">
      <c r="A81" s="4">
        <v>44409</v>
      </c>
      <c r="B81" s="1">
        <v>15</v>
      </c>
      <c r="C81" s="1" t="s">
        <v>10</v>
      </c>
      <c r="D81" s="1" t="s">
        <v>18</v>
      </c>
      <c r="E81" s="4"/>
    </row>
    <row r="82" spans="1:5" hidden="1" x14ac:dyDescent="0.25">
      <c r="A82" s="4">
        <v>44409</v>
      </c>
      <c r="B82" s="1">
        <v>16</v>
      </c>
      <c r="C82" s="1" t="s">
        <v>10</v>
      </c>
      <c r="D82" s="1" t="s">
        <v>15</v>
      </c>
      <c r="E82" s="4"/>
    </row>
    <row r="83" spans="1:5" hidden="1" x14ac:dyDescent="0.25">
      <c r="A83" s="4">
        <v>44410</v>
      </c>
      <c r="B83" s="1">
        <v>16</v>
      </c>
      <c r="C83" s="1" t="s">
        <v>10</v>
      </c>
      <c r="D83" s="1" t="s">
        <v>12</v>
      </c>
      <c r="E83" s="4"/>
    </row>
    <row r="84" spans="1:5" hidden="1" x14ac:dyDescent="0.25">
      <c r="A84" s="4">
        <v>44410</v>
      </c>
      <c r="B84" s="1">
        <v>20</v>
      </c>
      <c r="C84" s="1" t="s">
        <v>10</v>
      </c>
      <c r="D84" s="1" t="s">
        <v>12</v>
      </c>
      <c r="E84" s="4"/>
    </row>
    <row r="85" spans="1:5" hidden="1" x14ac:dyDescent="0.25">
      <c r="A85" s="4">
        <v>44411</v>
      </c>
      <c r="B85" s="1">
        <v>34</v>
      </c>
      <c r="C85" s="1" t="s">
        <v>10</v>
      </c>
      <c r="D85" s="1" t="s">
        <v>8</v>
      </c>
      <c r="E85" s="4"/>
    </row>
    <row r="86" spans="1:5" hidden="1" x14ac:dyDescent="0.25">
      <c r="A86" s="4">
        <v>44411</v>
      </c>
      <c r="B86" s="1">
        <v>29</v>
      </c>
      <c r="C86" s="1" t="s">
        <v>10</v>
      </c>
      <c r="D86" s="1" t="s">
        <v>12</v>
      </c>
      <c r="E86" s="4"/>
    </row>
    <row r="87" spans="1:5" hidden="1" x14ac:dyDescent="0.25">
      <c r="A87" s="4">
        <v>44411</v>
      </c>
      <c r="B87" s="1">
        <v>23</v>
      </c>
      <c r="C87" s="1" t="s">
        <v>10</v>
      </c>
      <c r="D87" s="1" t="s">
        <v>21</v>
      </c>
      <c r="E87" s="4"/>
    </row>
    <row r="88" spans="1:5" hidden="1" x14ac:dyDescent="0.25">
      <c r="A88" s="4">
        <v>44412</v>
      </c>
      <c r="B88" s="1">
        <v>34</v>
      </c>
      <c r="C88" s="1" t="s">
        <v>10</v>
      </c>
      <c r="D88" s="1" t="s">
        <v>12</v>
      </c>
      <c r="E88" s="4"/>
    </row>
    <row r="89" spans="1:5" hidden="1" x14ac:dyDescent="0.25">
      <c r="A89" s="4">
        <v>44412</v>
      </c>
      <c r="B89" s="1">
        <v>21</v>
      </c>
      <c r="C89" s="1" t="s">
        <v>10</v>
      </c>
      <c r="D89" s="1" t="s">
        <v>19</v>
      </c>
      <c r="E89" s="4"/>
    </row>
    <row r="90" spans="1:5" hidden="1" x14ac:dyDescent="0.25">
      <c r="A90" s="4">
        <v>44412</v>
      </c>
      <c r="B90" s="1">
        <v>31</v>
      </c>
      <c r="C90" s="1" t="s">
        <v>10</v>
      </c>
      <c r="D90" s="1" t="s">
        <v>9</v>
      </c>
      <c r="E90" s="4"/>
    </row>
    <row r="91" spans="1:5" hidden="1" x14ac:dyDescent="0.25">
      <c r="A91" s="4">
        <v>44412</v>
      </c>
      <c r="B91" s="1">
        <v>32</v>
      </c>
      <c r="C91" s="1" t="s">
        <v>10</v>
      </c>
      <c r="D91" s="1" t="s">
        <v>17</v>
      </c>
      <c r="E91" s="4"/>
    </row>
    <row r="92" spans="1:5" hidden="1" x14ac:dyDescent="0.25">
      <c r="A92" s="4">
        <v>44413</v>
      </c>
      <c r="B92" s="1">
        <v>17</v>
      </c>
      <c r="C92" s="1" t="s">
        <v>10</v>
      </c>
      <c r="D92" s="1" t="s">
        <v>14</v>
      </c>
      <c r="E92" s="4"/>
    </row>
    <row r="93" spans="1:5" hidden="1" x14ac:dyDescent="0.25">
      <c r="A93" s="4">
        <v>44413</v>
      </c>
      <c r="B93" s="1">
        <v>31</v>
      </c>
      <c r="C93" s="1" t="s">
        <v>10</v>
      </c>
      <c r="D93" s="1" t="s">
        <v>16</v>
      </c>
      <c r="E93" s="4"/>
    </row>
    <row r="94" spans="1:5" hidden="1" x14ac:dyDescent="0.25">
      <c r="A94" s="4">
        <v>44413</v>
      </c>
      <c r="B94" s="1">
        <v>29</v>
      </c>
      <c r="C94" s="1" t="s">
        <v>10</v>
      </c>
      <c r="D94" s="1" t="s">
        <v>15</v>
      </c>
      <c r="E94" s="4"/>
    </row>
    <row r="95" spans="1:5" x14ac:dyDescent="0.25">
      <c r="A95" s="4">
        <v>44413</v>
      </c>
      <c r="B95" s="1">
        <v>15</v>
      </c>
      <c r="C95" s="1" t="s">
        <v>10</v>
      </c>
      <c r="D95" s="1" t="s">
        <v>6</v>
      </c>
      <c r="E95" s="4"/>
    </row>
    <row r="96" spans="1:5" hidden="1" x14ac:dyDescent="0.25">
      <c r="A96" s="4">
        <v>44413</v>
      </c>
      <c r="B96" s="1">
        <v>28</v>
      </c>
      <c r="C96" s="1" t="s">
        <v>10</v>
      </c>
      <c r="D96" s="1" t="s">
        <v>14</v>
      </c>
      <c r="E96" s="4"/>
    </row>
    <row r="97" spans="1:5" hidden="1" x14ac:dyDescent="0.25">
      <c r="A97" s="4">
        <v>44413</v>
      </c>
      <c r="B97" s="1">
        <v>35</v>
      </c>
      <c r="C97" s="1" t="s">
        <v>10</v>
      </c>
      <c r="D97" s="1" t="s">
        <v>17</v>
      </c>
      <c r="E97" s="4"/>
    </row>
    <row r="98" spans="1:5" hidden="1" x14ac:dyDescent="0.25">
      <c r="A98" s="4">
        <v>44407</v>
      </c>
      <c r="B98" s="1">
        <v>9</v>
      </c>
      <c r="C98" s="1" t="s">
        <v>13</v>
      </c>
      <c r="D98" s="1" t="s">
        <v>14</v>
      </c>
      <c r="E98" s="4"/>
    </row>
    <row r="99" spans="1:5" hidden="1" x14ac:dyDescent="0.25">
      <c r="A99" s="4">
        <v>44407</v>
      </c>
      <c r="B99" s="1">
        <v>29</v>
      </c>
      <c r="C99" s="1" t="s">
        <v>13</v>
      </c>
      <c r="D99" s="1" t="s">
        <v>15</v>
      </c>
      <c r="E99" s="4"/>
    </row>
    <row r="100" spans="1:5" hidden="1" x14ac:dyDescent="0.25">
      <c r="A100" s="4">
        <v>44407</v>
      </c>
      <c r="B100" s="1">
        <v>20</v>
      </c>
      <c r="C100" s="1" t="s">
        <v>13</v>
      </c>
      <c r="D100" s="1" t="s">
        <v>15</v>
      </c>
      <c r="E100" s="4"/>
    </row>
    <row r="101" spans="1:5" hidden="1" x14ac:dyDescent="0.25">
      <c r="A101" s="4">
        <v>44408</v>
      </c>
      <c r="B101" s="1">
        <v>33</v>
      </c>
      <c r="C101" s="1" t="s">
        <v>13</v>
      </c>
      <c r="D101" s="1" t="s">
        <v>19</v>
      </c>
      <c r="E101" s="4"/>
    </row>
    <row r="102" spans="1:5" hidden="1" x14ac:dyDescent="0.25">
      <c r="A102" s="4">
        <v>44408</v>
      </c>
      <c r="B102" s="1">
        <v>34</v>
      </c>
      <c r="C102" s="1" t="s">
        <v>13</v>
      </c>
      <c r="D102" s="1" t="s">
        <v>19</v>
      </c>
      <c r="E102" s="4"/>
    </row>
    <row r="103" spans="1:5" hidden="1" x14ac:dyDescent="0.25">
      <c r="A103" s="4">
        <v>44408</v>
      </c>
      <c r="B103" s="1">
        <v>35</v>
      </c>
      <c r="C103" s="1" t="s">
        <v>13</v>
      </c>
      <c r="D103" s="1" t="s">
        <v>19</v>
      </c>
      <c r="E103" s="4"/>
    </row>
    <row r="104" spans="1:5" hidden="1" x14ac:dyDescent="0.25">
      <c r="A104" s="4">
        <v>44409</v>
      </c>
      <c r="B104" s="1">
        <v>26</v>
      </c>
      <c r="C104" s="1" t="s">
        <v>13</v>
      </c>
      <c r="D104" s="1" t="s">
        <v>19</v>
      </c>
      <c r="E104" s="4"/>
    </row>
    <row r="105" spans="1:5" hidden="1" x14ac:dyDescent="0.25">
      <c r="A105" s="4">
        <v>44409</v>
      </c>
      <c r="B105" s="1">
        <v>22</v>
      </c>
      <c r="C105" s="1" t="s">
        <v>13</v>
      </c>
      <c r="D105" s="1" t="s">
        <v>14</v>
      </c>
      <c r="E105" s="4"/>
    </row>
    <row r="106" spans="1:5" hidden="1" x14ac:dyDescent="0.25">
      <c r="A106" s="4">
        <v>44409</v>
      </c>
      <c r="B106" s="1">
        <v>16</v>
      </c>
      <c r="C106" s="1" t="s">
        <v>13</v>
      </c>
      <c r="D106" s="1" t="s">
        <v>22</v>
      </c>
      <c r="E106" s="4"/>
    </row>
    <row r="107" spans="1:5" hidden="1" x14ac:dyDescent="0.25">
      <c r="A107" s="4">
        <v>44410</v>
      </c>
      <c r="B107" s="1">
        <v>24</v>
      </c>
      <c r="C107" s="1" t="s">
        <v>13</v>
      </c>
      <c r="D107" s="1" t="s">
        <v>19</v>
      </c>
      <c r="E107" s="4"/>
    </row>
    <row r="108" spans="1:5" hidden="1" x14ac:dyDescent="0.25">
      <c r="A108" s="4">
        <v>44410</v>
      </c>
      <c r="B108" s="1">
        <v>10</v>
      </c>
      <c r="C108" s="1" t="s">
        <v>13</v>
      </c>
      <c r="D108" s="1" t="s">
        <v>15</v>
      </c>
      <c r="E108" s="4"/>
    </row>
    <row r="109" spans="1:5" hidden="1" x14ac:dyDescent="0.25">
      <c r="A109" s="4">
        <v>44411</v>
      </c>
      <c r="B109" s="1">
        <v>29</v>
      </c>
      <c r="C109" s="1" t="s">
        <v>13</v>
      </c>
      <c r="D109" s="1" t="s">
        <v>14</v>
      </c>
      <c r="E109" s="4"/>
    </row>
    <row r="110" spans="1:5" hidden="1" x14ac:dyDescent="0.25">
      <c r="A110" s="4">
        <v>44412</v>
      </c>
      <c r="B110" s="1">
        <v>14</v>
      </c>
      <c r="C110" s="1" t="s">
        <v>13</v>
      </c>
      <c r="D110" s="1" t="s">
        <v>14</v>
      </c>
      <c r="E110" s="4"/>
    </row>
    <row r="111" spans="1:5" hidden="1" x14ac:dyDescent="0.25">
      <c r="A111" s="4">
        <v>44412</v>
      </c>
      <c r="B111" s="1">
        <v>9</v>
      </c>
      <c r="C111" s="1" t="s">
        <v>13</v>
      </c>
      <c r="D111" s="1" t="s">
        <v>19</v>
      </c>
      <c r="E111" s="4"/>
    </row>
    <row r="112" spans="1:5" hidden="1" x14ac:dyDescent="0.25">
      <c r="A112" s="4">
        <v>44412</v>
      </c>
      <c r="B112" s="1">
        <v>21</v>
      </c>
      <c r="C112" s="1" t="s">
        <v>13</v>
      </c>
      <c r="D112" s="1" t="s">
        <v>9</v>
      </c>
      <c r="E112" s="4"/>
    </row>
    <row r="113" spans="1:5" hidden="1" x14ac:dyDescent="0.25">
      <c r="A113" s="4">
        <v>44412</v>
      </c>
      <c r="B113" s="1">
        <v>16</v>
      </c>
      <c r="C113" s="1" t="s">
        <v>13</v>
      </c>
      <c r="D113" s="1" t="s">
        <v>8</v>
      </c>
      <c r="E113" s="4"/>
    </row>
    <row r="114" spans="1:5" hidden="1" x14ac:dyDescent="0.25">
      <c r="A114" s="4">
        <v>44413</v>
      </c>
      <c r="B114" s="1">
        <v>28</v>
      </c>
      <c r="C114" s="1" t="s">
        <v>13</v>
      </c>
      <c r="D114" s="1" t="s">
        <v>8</v>
      </c>
      <c r="E114" s="4"/>
    </row>
    <row r="115" spans="1:5" x14ac:dyDescent="0.25">
      <c r="A115" s="4">
        <v>44413</v>
      </c>
      <c r="B115" s="1">
        <v>24</v>
      </c>
      <c r="C115" s="1" t="s">
        <v>13</v>
      </c>
      <c r="D115" s="1" t="s">
        <v>6</v>
      </c>
      <c r="E115" s="4"/>
    </row>
    <row r="116" spans="1:5" hidden="1" x14ac:dyDescent="0.25">
      <c r="A116" s="4">
        <v>44413</v>
      </c>
      <c r="B116" s="1">
        <v>30</v>
      </c>
      <c r="C116" s="1" t="s">
        <v>13</v>
      </c>
      <c r="D116" s="1" t="s">
        <v>14</v>
      </c>
      <c r="E116" s="4"/>
    </row>
    <row r="117" spans="1:5" hidden="1" x14ac:dyDescent="0.25">
      <c r="A117" s="4">
        <v>44413</v>
      </c>
      <c r="B117" s="1">
        <v>24</v>
      </c>
      <c r="C117" s="1" t="s">
        <v>13</v>
      </c>
      <c r="D117" s="1" t="s">
        <v>9</v>
      </c>
      <c r="E117" s="4"/>
    </row>
    <row r="118" spans="1:5" hidden="1" x14ac:dyDescent="0.25">
      <c r="A118" s="4">
        <v>44413</v>
      </c>
      <c r="B118" s="1">
        <v>9</v>
      </c>
      <c r="C118" s="1" t="s">
        <v>13</v>
      </c>
      <c r="D118" s="1" t="s">
        <v>9</v>
      </c>
      <c r="E118" s="4"/>
    </row>
    <row r="119" spans="1:5" hidden="1" x14ac:dyDescent="0.25">
      <c r="A119" s="4">
        <v>44413</v>
      </c>
      <c r="B119" s="1">
        <v>14</v>
      </c>
      <c r="C119" s="1" t="s">
        <v>13</v>
      </c>
      <c r="D119" s="1" t="s">
        <v>11</v>
      </c>
      <c r="E119" s="4"/>
    </row>
    <row r="120" spans="1:5" hidden="1" x14ac:dyDescent="0.25">
      <c r="A120" s="4">
        <v>44413</v>
      </c>
      <c r="B120" s="1">
        <v>18</v>
      </c>
      <c r="C120" s="1" t="s">
        <v>13</v>
      </c>
      <c r="D120" s="1" t="s">
        <v>16</v>
      </c>
      <c r="E120" s="4"/>
    </row>
    <row r="121" spans="1:5" x14ac:dyDescent="0.25">
      <c r="A121" s="28" t="s">
        <v>47</v>
      </c>
      <c r="B121">
        <f>SUBTOTAL(109,Table1[Quantity])</f>
        <v>353</v>
      </c>
      <c r="C121" s="28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9FCD-7E25-4BB7-BC9B-6671DDCB720A}">
  <dimension ref="A1:F120"/>
  <sheetViews>
    <sheetView workbookViewId="0">
      <selection activeCell="E8" sqref="E8"/>
    </sheetView>
  </sheetViews>
  <sheetFormatPr defaultColWidth="8.875" defaultRowHeight="15" x14ac:dyDescent="0.25"/>
  <cols>
    <col min="1" max="1" width="12.25" style="1" customWidth="1"/>
    <col min="2" max="2" width="10.25" style="1" customWidth="1"/>
    <col min="3" max="3" width="20.25" style="1" customWidth="1"/>
  </cols>
  <sheetData>
    <row r="1" spans="1:6" x14ac:dyDescent="0.25">
      <c r="A1" s="33" t="s">
        <v>0</v>
      </c>
      <c r="B1" s="33"/>
      <c r="C1" s="33"/>
      <c r="D1" s="33"/>
    </row>
    <row r="2" spans="1:6" x14ac:dyDescent="0.25">
      <c r="A2" s="2"/>
      <c r="B2" s="2"/>
      <c r="C2" s="2"/>
      <c r="D2" s="2"/>
    </row>
    <row r="3" spans="1:6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6" x14ac:dyDescent="0.25">
      <c r="A4" s="4">
        <v>43311</v>
      </c>
      <c r="B4" s="1">
        <v>21</v>
      </c>
      <c r="C4" s="1" t="s">
        <v>5</v>
      </c>
      <c r="D4" s="1" t="s">
        <v>6</v>
      </c>
      <c r="E4" s="4"/>
      <c r="F4" s="15"/>
    </row>
    <row r="5" spans="1:6" x14ac:dyDescent="0.25">
      <c r="A5" s="4">
        <v>43311</v>
      </c>
      <c r="B5" s="1">
        <v>16</v>
      </c>
      <c r="C5" s="1" t="s">
        <v>7</v>
      </c>
      <c r="D5" s="1" t="s">
        <v>8</v>
      </c>
      <c r="E5" s="4"/>
      <c r="F5" s="15"/>
    </row>
    <row r="6" spans="1:6" x14ac:dyDescent="0.25">
      <c r="A6" s="4">
        <v>43311</v>
      </c>
      <c r="B6" s="1">
        <v>25</v>
      </c>
      <c r="C6" s="1" t="s">
        <v>7</v>
      </c>
      <c r="D6" s="1" t="s">
        <v>9</v>
      </c>
      <c r="E6" s="4"/>
      <c r="F6" s="15"/>
    </row>
    <row r="7" spans="1:6" x14ac:dyDescent="0.25">
      <c r="A7" s="4">
        <v>43311</v>
      </c>
      <c r="B7" s="1">
        <v>19</v>
      </c>
      <c r="C7" s="1" t="s">
        <v>10</v>
      </c>
      <c r="D7" s="1" t="s">
        <v>11</v>
      </c>
      <c r="E7" s="4"/>
      <c r="F7" s="15"/>
    </row>
    <row r="8" spans="1:6" x14ac:dyDescent="0.25">
      <c r="A8" s="4">
        <v>43311</v>
      </c>
      <c r="B8" s="1">
        <v>14</v>
      </c>
      <c r="C8" s="1" t="s">
        <v>10</v>
      </c>
      <c r="D8" s="1" t="s">
        <v>12</v>
      </c>
      <c r="E8" s="4"/>
      <c r="F8" s="15"/>
    </row>
    <row r="9" spans="1:6" x14ac:dyDescent="0.25">
      <c r="A9" s="4">
        <v>43311</v>
      </c>
      <c r="B9" s="1">
        <v>21</v>
      </c>
      <c r="C9" s="1" t="s">
        <v>13</v>
      </c>
      <c r="D9" s="1" t="s">
        <v>14</v>
      </c>
      <c r="E9" s="4"/>
      <c r="F9" s="15"/>
    </row>
    <row r="10" spans="1:6" x14ac:dyDescent="0.25">
      <c r="A10" s="4">
        <v>43311</v>
      </c>
      <c r="B10" s="1">
        <v>5</v>
      </c>
      <c r="C10" s="1" t="s">
        <v>13</v>
      </c>
      <c r="D10" s="1" t="s">
        <v>15</v>
      </c>
      <c r="E10" s="4"/>
      <c r="F10" s="15"/>
    </row>
    <row r="11" spans="1:6" x14ac:dyDescent="0.25">
      <c r="A11" s="4">
        <v>43311</v>
      </c>
      <c r="B11" s="1">
        <v>11</v>
      </c>
      <c r="C11" s="1" t="s">
        <v>7</v>
      </c>
      <c r="D11" s="1" t="s">
        <v>16</v>
      </c>
      <c r="E11" s="4"/>
      <c r="F11" s="15"/>
    </row>
    <row r="12" spans="1:6" x14ac:dyDescent="0.25">
      <c r="A12" s="4">
        <v>43311</v>
      </c>
      <c r="B12" s="1">
        <v>23</v>
      </c>
      <c r="C12" s="1" t="s">
        <v>5</v>
      </c>
      <c r="D12" s="1" t="s">
        <v>6</v>
      </c>
      <c r="E12" s="4"/>
      <c r="F12" s="15"/>
    </row>
    <row r="13" spans="1:6" x14ac:dyDescent="0.25">
      <c r="A13" s="4">
        <v>43311</v>
      </c>
      <c r="B13" s="1">
        <v>13</v>
      </c>
      <c r="C13" s="1" t="s">
        <v>13</v>
      </c>
      <c r="D13" s="1" t="s">
        <v>15</v>
      </c>
      <c r="E13" s="4"/>
      <c r="F13" s="15"/>
    </row>
    <row r="14" spans="1:6" x14ac:dyDescent="0.25">
      <c r="A14" s="4">
        <v>43311</v>
      </c>
      <c r="B14" s="1">
        <v>10</v>
      </c>
      <c r="C14" s="1" t="s">
        <v>10</v>
      </c>
      <c r="D14" s="1" t="s">
        <v>17</v>
      </c>
      <c r="E14" s="4"/>
      <c r="F14" s="15"/>
    </row>
    <row r="15" spans="1:6" x14ac:dyDescent="0.25">
      <c r="A15" s="4">
        <v>43311</v>
      </c>
      <c r="B15" s="1">
        <v>11</v>
      </c>
      <c r="C15" s="1" t="s">
        <v>7</v>
      </c>
      <c r="D15" s="1" t="s">
        <v>18</v>
      </c>
      <c r="E15" s="4"/>
      <c r="F15" s="15"/>
    </row>
    <row r="16" spans="1:6" x14ac:dyDescent="0.25">
      <c r="A16" s="4">
        <v>43311</v>
      </c>
      <c r="B16" s="1">
        <v>6</v>
      </c>
      <c r="C16" s="1" t="s">
        <v>7</v>
      </c>
      <c r="D16" s="1" t="s">
        <v>14</v>
      </c>
      <c r="E16" s="4"/>
      <c r="F16" s="15"/>
    </row>
    <row r="17" spans="1:6" x14ac:dyDescent="0.25">
      <c r="A17" s="4">
        <v>43311</v>
      </c>
      <c r="B17" s="1">
        <v>18</v>
      </c>
      <c r="C17" s="1" t="s">
        <v>5</v>
      </c>
      <c r="D17" s="1" t="s">
        <v>12</v>
      </c>
      <c r="E17" s="4"/>
      <c r="F17" s="15"/>
    </row>
    <row r="18" spans="1:6" x14ac:dyDescent="0.25">
      <c r="A18" s="4">
        <v>43311</v>
      </c>
      <c r="B18" s="1">
        <v>18</v>
      </c>
      <c r="C18" s="1" t="s">
        <v>5</v>
      </c>
      <c r="D18" s="1" t="s">
        <v>12</v>
      </c>
      <c r="E18" s="4"/>
      <c r="F18" s="15"/>
    </row>
    <row r="19" spans="1:6" x14ac:dyDescent="0.25">
      <c r="A19" s="4">
        <v>43311</v>
      </c>
      <c r="B19" s="1">
        <v>20</v>
      </c>
      <c r="C19" s="1" t="s">
        <v>10</v>
      </c>
      <c r="D19" s="1" t="s">
        <v>19</v>
      </c>
      <c r="E19" s="4"/>
      <c r="F19" s="15"/>
    </row>
    <row r="20" spans="1:6" x14ac:dyDescent="0.25">
      <c r="A20" s="4">
        <v>43312</v>
      </c>
      <c r="B20" s="1">
        <v>18</v>
      </c>
      <c r="C20" s="1" t="s">
        <v>5</v>
      </c>
      <c r="D20" s="1" t="s">
        <v>20</v>
      </c>
      <c r="E20" s="4"/>
      <c r="F20" s="15"/>
    </row>
    <row r="21" spans="1:6" x14ac:dyDescent="0.25">
      <c r="A21" s="4">
        <v>43312</v>
      </c>
      <c r="B21" s="1">
        <v>24</v>
      </c>
      <c r="C21" s="1" t="s">
        <v>10</v>
      </c>
      <c r="D21" s="1" t="s">
        <v>8</v>
      </c>
      <c r="E21" s="4"/>
      <c r="F21" s="15"/>
    </row>
    <row r="22" spans="1:6" x14ac:dyDescent="0.25">
      <c r="A22" s="4">
        <v>43312</v>
      </c>
      <c r="B22" s="1">
        <v>11</v>
      </c>
      <c r="C22" s="1" t="s">
        <v>13</v>
      </c>
      <c r="D22" s="1" t="s">
        <v>19</v>
      </c>
      <c r="E22" s="4"/>
      <c r="F22" s="15"/>
    </row>
    <row r="23" spans="1:6" x14ac:dyDescent="0.25">
      <c r="A23" s="4">
        <v>43312</v>
      </c>
      <c r="B23" s="1">
        <v>16</v>
      </c>
      <c r="C23" s="1" t="s">
        <v>7</v>
      </c>
      <c r="D23" s="1" t="s">
        <v>16</v>
      </c>
      <c r="E23" s="4"/>
      <c r="F23" s="15"/>
    </row>
    <row r="24" spans="1:6" x14ac:dyDescent="0.25">
      <c r="A24" s="4">
        <v>43312</v>
      </c>
      <c r="B24" s="1">
        <v>14</v>
      </c>
      <c r="C24" s="1" t="s">
        <v>5</v>
      </c>
      <c r="D24" s="1" t="s">
        <v>6</v>
      </c>
      <c r="E24" s="4"/>
      <c r="F24" s="15"/>
    </row>
    <row r="25" spans="1:6" x14ac:dyDescent="0.25">
      <c r="A25" s="4">
        <v>43312</v>
      </c>
      <c r="B25" s="1">
        <v>20</v>
      </c>
      <c r="C25" s="1" t="s">
        <v>7</v>
      </c>
      <c r="D25" s="1" t="s">
        <v>18</v>
      </c>
      <c r="E25" s="4"/>
      <c r="F25" s="15"/>
    </row>
    <row r="26" spans="1:6" x14ac:dyDescent="0.25">
      <c r="A26" s="4">
        <v>43312</v>
      </c>
      <c r="B26" s="1">
        <v>14</v>
      </c>
      <c r="C26" s="1" t="s">
        <v>10</v>
      </c>
      <c r="D26" s="1" t="s">
        <v>17</v>
      </c>
      <c r="E26" s="4"/>
      <c r="F26" s="15"/>
    </row>
    <row r="27" spans="1:6" x14ac:dyDescent="0.25">
      <c r="A27" s="4">
        <v>43312</v>
      </c>
      <c r="B27" s="1">
        <v>9</v>
      </c>
      <c r="C27" s="1" t="s">
        <v>7</v>
      </c>
      <c r="D27" s="1" t="s">
        <v>14</v>
      </c>
      <c r="E27" s="4"/>
      <c r="F27" s="15"/>
    </row>
    <row r="28" spans="1:6" x14ac:dyDescent="0.25">
      <c r="A28" s="4">
        <v>43312</v>
      </c>
      <c r="B28" s="1">
        <v>19</v>
      </c>
      <c r="C28" s="1" t="s">
        <v>5</v>
      </c>
      <c r="D28" s="1" t="s">
        <v>6</v>
      </c>
      <c r="E28" s="4"/>
      <c r="F28" s="15"/>
    </row>
    <row r="29" spans="1:6" x14ac:dyDescent="0.25">
      <c r="A29" s="4">
        <v>43312</v>
      </c>
      <c r="B29" s="1">
        <v>25</v>
      </c>
      <c r="C29" s="1" t="s">
        <v>5</v>
      </c>
      <c r="D29" s="1" t="s">
        <v>6</v>
      </c>
      <c r="E29" s="4"/>
      <c r="F29" s="15"/>
    </row>
    <row r="30" spans="1:6" x14ac:dyDescent="0.25">
      <c r="A30" s="4">
        <v>43312</v>
      </c>
      <c r="B30" s="1">
        <v>20</v>
      </c>
      <c r="C30" s="1" t="s">
        <v>5</v>
      </c>
      <c r="D30" s="1" t="s">
        <v>14</v>
      </c>
      <c r="E30" s="4"/>
      <c r="F30" s="15"/>
    </row>
    <row r="31" spans="1:6" x14ac:dyDescent="0.25">
      <c r="A31" s="4">
        <v>43312</v>
      </c>
      <c r="B31" s="1">
        <v>15</v>
      </c>
      <c r="C31" s="1" t="s">
        <v>7</v>
      </c>
      <c r="D31" s="1" t="s">
        <v>21</v>
      </c>
      <c r="E31" s="4"/>
      <c r="F31" s="15"/>
    </row>
    <row r="32" spans="1:6" x14ac:dyDescent="0.25">
      <c r="A32" s="4">
        <v>43312</v>
      </c>
      <c r="B32" s="1">
        <v>5</v>
      </c>
      <c r="C32" s="1" t="s">
        <v>10</v>
      </c>
      <c r="D32" s="1" t="s">
        <v>9</v>
      </c>
      <c r="E32" s="4"/>
      <c r="F32" s="15"/>
    </row>
    <row r="33" spans="1:6" x14ac:dyDescent="0.25">
      <c r="A33" s="4">
        <v>43312</v>
      </c>
      <c r="B33" s="1">
        <v>7</v>
      </c>
      <c r="C33" s="1" t="s">
        <v>10</v>
      </c>
      <c r="D33" s="1" t="s">
        <v>11</v>
      </c>
      <c r="E33" s="4"/>
      <c r="F33" s="15"/>
    </row>
    <row r="34" spans="1:6" x14ac:dyDescent="0.25">
      <c r="A34" s="4">
        <v>43312</v>
      </c>
      <c r="B34" s="1">
        <v>7</v>
      </c>
      <c r="C34" s="1" t="s">
        <v>10</v>
      </c>
      <c r="D34" s="1" t="s">
        <v>17</v>
      </c>
      <c r="E34" s="4"/>
      <c r="F34" s="15"/>
    </row>
    <row r="35" spans="1:6" x14ac:dyDescent="0.25">
      <c r="A35" s="4">
        <v>43312</v>
      </c>
      <c r="B35" s="1">
        <v>12</v>
      </c>
      <c r="C35" s="1" t="s">
        <v>13</v>
      </c>
      <c r="D35" s="1" t="s">
        <v>19</v>
      </c>
      <c r="E35" s="4"/>
      <c r="F35" s="15"/>
    </row>
    <row r="36" spans="1:6" x14ac:dyDescent="0.25">
      <c r="A36" s="4">
        <v>43312</v>
      </c>
      <c r="B36" s="1">
        <v>11</v>
      </c>
      <c r="C36" s="1" t="s">
        <v>13</v>
      </c>
      <c r="D36" s="1" t="s">
        <v>19</v>
      </c>
      <c r="E36" s="4"/>
      <c r="F36" s="15"/>
    </row>
    <row r="37" spans="1:6" x14ac:dyDescent="0.25">
      <c r="A37" s="4">
        <v>43312</v>
      </c>
      <c r="B37" s="1">
        <v>6</v>
      </c>
      <c r="C37" s="1" t="s">
        <v>7</v>
      </c>
      <c r="D37" s="1" t="s">
        <v>8</v>
      </c>
      <c r="E37" s="4"/>
      <c r="F37" s="15"/>
    </row>
    <row r="38" spans="1:6" x14ac:dyDescent="0.25">
      <c r="A38" s="4">
        <v>43313</v>
      </c>
      <c r="B38" s="1">
        <v>5</v>
      </c>
      <c r="C38" s="1" t="s">
        <v>13</v>
      </c>
      <c r="D38" s="1" t="s">
        <v>19</v>
      </c>
      <c r="E38" s="4"/>
      <c r="F38" s="15"/>
    </row>
    <row r="39" spans="1:6" x14ac:dyDescent="0.25">
      <c r="A39" s="4">
        <v>43313</v>
      </c>
      <c r="B39" s="1">
        <v>12</v>
      </c>
      <c r="C39" s="1" t="s">
        <v>5</v>
      </c>
      <c r="D39" s="1" t="s">
        <v>6</v>
      </c>
      <c r="E39" s="4"/>
      <c r="F39" s="15"/>
    </row>
    <row r="40" spans="1:6" x14ac:dyDescent="0.25">
      <c r="A40" s="4">
        <v>43313</v>
      </c>
      <c r="B40" s="1">
        <v>8</v>
      </c>
      <c r="C40" s="1" t="s">
        <v>5</v>
      </c>
      <c r="D40" s="1" t="s">
        <v>15</v>
      </c>
      <c r="E40" s="4"/>
      <c r="F40" s="15"/>
    </row>
    <row r="41" spans="1:6" x14ac:dyDescent="0.25">
      <c r="A41" s="4">
        <v>43313</v>
      </c>
      <c r="B41" s="1">
        <v>20</v>
      </c>
      <c r="C41" s="1" t="s">
        <v>10</v>
      </c>
      <c r="D41" s="1" t="s">
        <v>17</v>
      </c>
      <c r="E41" s="4"/>
      <c r="F41" s="15"/>
    </row>
    <row r="42" spans="1:6" x14ac:dyDescent="0.25">
      <c r="A42" s="4">
        <v>43313</v>
      </c>
      <c r="B42" s="1">
        <v>13</v>
      </c>
      <c r="C42" s="1" t="s">
        <v>10</v>
      </c>
      <c r="D42" s="1" t="s">
        <v>16</v>
      </c>
      <c r="E42" s="4"/>
      <c r="F42" s="15"/>
    </row>
    <row r="43" spans="1:6" x14ac:dyDescent="0.25">
      <c r="A43" s="4">
        <v>43313</v>
      </c>
      <c r="B43" s="1">
        <v>23</v>
      </c>
      <c r="C43" s="1" t="s">
        <v>10</v>
      </c>
      <c r="D43" s="1" t="s">
        <v>18</v>
      </c>
      <c r="E43" s="4"/>
      <c r="F43" s="15"/>
    </row>
    <row r="44" spans="1:6" x14ac:dyDescent="0.25">
      <c r="A44" s="4">
        <v>43313</v>
      </c>
      <c r="B44" s="1">
        <v>12</v>
      </c>
      <c r="C44" s="1" t="s">
        <v>7</v>
      </c>
      <c r="D44" s="1" t="s">
        <v>16</v>
      </c>
      <c r="E44" s="4"/>
      <c r="F44" s="15"/>
    </row>
    <row r="45" spans="1:6" x14ac:dyDescent="0.25">
      <c r="A45" s="4">
        <v>43313</v>
      </c>
      <c r="B45" s="1">
        <v>9</v>
      </c>
      <c r="C45" s="1" t="s">
        <v>7</v>
      </c>
      <c r="D45" s="1" t="s">
        <v>15</v>
      </c>
      <c r="E45" s="4"/>
      <c r="F45" s="15"/>
    </row>
    <row r="46" spans="1:6" x14ac:dyDescent="0.25">
      <c r="A46" s="4">
        <v>43313</v>
      </c>
      <c r="B46" s="1">
        <v>20</v>
      </c>
      <c r="C46" s="1" t="s">
        <v>7</v>
      </c>
      <c r="D46" s="1" t="s">
        <v>19</v>
      </c>
      <c r="E46" s="4"/>
      <c r="F46" s="15"/>
    </row>
    <row r="47" spans="1:6" x14ac:dyDescent="0.25">
      <c r="A47" s="4">
        <v>43313</v>
      </c>
      <c r="B47" s="1">
        <v>7</v>
      </c>
      <c r="C47" s="1" t="s">
        <v>7</v>
      </c>
      <c r="D47" s="1" t="s">
        <v>21</v>
      </c>
      <c r="E47" s="4"/>
      <c r="F47" s="15"/>
    </row>
    <row r="48" spans="1:6" x14ac:dyDescent="0.25">
      <c r="A48" s="4">
        <v>43313</v>
      </c>
      <c r="B48" s="1">
        <v>21</v>
      </c>
      <c r="C48" s="1" t="s">
        <v>7</v>
      </c>
      <c r="D48" s="1" t="s">
        <v>8</v>
      </c>
      <c r="E48" s="4"/>
      <c r="F48" s="15"/>
    </row>
    <row r="49" spans="1:6" x14ac:dyDescent="0.25">
      <c r="A49" s="4">
        <v>43313</v>
      </c>
      <c r="B49" s="1">
        <v>16</v>
      </c>
      <c r="C49" s="1" t="s">
        <v>13</v>
      </c>
      <c r="D49" s="1" t="s">
        <v>14</v>
      </c>
      <c r="E49" s="4"/>
      <c r="F49" s="15"/>
    </row>
    <row r="50" spans="1:6" x14ac:dyDescent="0.25">
      <c r="A50" s="4">
        <v>43313</v>
      </c>
      <c r="B50" s="1">
        <v>14</v>
      </c>
      <c r="C50" s="1" t="s">
        <v>5</v>
      </c>
      <c r="D50" s="1" t="s">
        <v>14</v>
      </c>
      <c r="E50" s="4"/>
      <c r="F50" s="15"/>
    </row>
    <row r="51" spans="1:6" x14ac:dyDescent="0.25">
      <c r="A51" s="4">
        <v>43313</v>
      </c>
      <c r="B51" s="1">
        <v>24</v>
      </c>
      <c r="C51" s="1" t="s">
        <v>10</v>
      </c>
      <c r="D51" s="1" t="s">
        <v>15</v>
      </c>
      <c r="E51" s="4"/>
      <c r="F51" s="15"/>
    </row>
    <row r="52" spans="1:6" x14ac:dyDescent="0.25">
      <c r="A52" s="4">
        <v>43313</v>
      </c>
      <c r="B52" s="1">
        <v>23</v>
      </c>
      <c r="C52" s="1" t="s">
        <v>5</v>
      </c>
      <c r="D52" s="1" t="s">
        <v>6</v>
      </c>
      <c r="E52" s="4"/>
      <c r="F52" s="15"/>
    </row>
    <row r="53" spans="1:6" x14ac:dyDescent="0.25">
      <c r="A53" s="4">
        <v>43313</v>
      </c>
      <c r="B53" s="1">
        <v>17</v>
      </c>
      <c r="C53" s="1" t="s">
        <v>5</v>
      </c>
      <c r="D53" s="1" t="s">
        <v>21</v>
      </c>
      <c r="E53" s="4"/>
      <c r="F53" s="15"/>
    </row>
    <row r="54" spans="1:6" x14ac:dyDescent="0.25">
      <c r="A54" s="4">
        <v>43313</v>
      </c>
      <c r="B54" s="1">
        <v>11</v>
      </c>
      <c r="C54" s="1" t="s">
        <v>7</v>
      </c>
      <c r="D54" s="1" t="s">
        <v>16</v>
      </c>
      <c r="E54" s="4"/>
      <c r="F54" s="15"/>
    </row>
    <row r="55" spans="1:6" x14ac:dyDescent="0.25">
      <c r="A55" s="4">
        <v>43313</v>
      </c>
      <c r="B55" s="1">
        <v>25</v>
      </c>
      <c r="C55" s="1" t="s">
        <v>7</v>
      </c>
      <c r="D55" s="1" t="s">
        <v>22</v>
      </c>
      <c r="E55" s="4"/>
      <c r="F55" s="15"/>
    </row>
    <row r="56" spans="1:6" x14ac:dyDescent="0.25">
      <c r="A56" s="4">
        <v>43313</v>
      </c>
      <c r="B56" s="1">
        <v>6</v>
      </c>
      <c r="C56" s="1" t="s">
        <v>13</v>
      </c>
      <c r="D56" s="1" t="s">
        <v>22</v>
      </c>
      <c r="E56" s="4"/>
      <c r="F56" s="15"/>
    </row>
    <row r="57" spans="1:6" x14ac:dyDescent="0.25">
      <c r="A57" s="4">
        <v>43314</v>
      </c>
      <c r="B57" s="1">
        <v>19</v>
      </c>
      <c r="C57" s="1" t="s">
        <v>7</v>
      </c>
      <c r="D57" s="1" t="s">
        <v>8</v>
      </c>
      <c r="E57" s="4"/>
      <c r="F57" s="15"/>
    </row>
    <row r="58" spans="1:6" x14ac:dyDescent="0.25">
      <c r="A58" s="4">
        <v>43314</v>
      </c>
      <c r="B58" s="1">
        <v>22</v>
      </c>
      <c r="C58" s="1" t="s">
        <v>7</v>
      </c>
      <c r="D58" s="1" t="s">
        <v>19</v>
      </c>
      <c r="E58" s="4"/>
      <c r="F58" s="15"/>
    </row>
    <row r="59" spans="1:6" x14ac:dyDescent="0.25">
      <c r="A59" s="4">
        <v>43314</v>
      </c>
      <c r="B59" s="1">
        <v>25</v>
      </c>
      <c r="C59" s="1" t="s">
        <v>10</v>
      </c>
      <c r="D59" s="1" t="s">
        <v>12</v>
      </c>
      <c r="E59" s="4"/>
      <c r="F59" s="15"/>
    </row>
    <row r="60" spans="1:6" x14ac:dyDescent="0.25">
      <c r="A60" s="4">
        <v>43314</v>
      </c>
      <c r="B60" s="1">
        <v>13</v>
      </c>
      <c r="C60" s="1" t="s">
        <v>10</v>
      </c>
      <c r="D60" s="1" t="s">
        <v>12</v>
      </c>
      <c r="E60" s="4"/>
      <c r="F60" s="15"/>
    </row>
    <row r="61" spans="1:6" x14ac:dyDescent="0.25">
      <c r="A61" s="4">
        <v>43314</v>
      </c>
      <c r="B61" s="1">
        <v>22</v>
      </c>
      <c r="C61" s="1" t="s">
        <v>5</v>
      </c>
      <c r="D61" s="1" t="s">
        <v>19</v>
      </c>
      <c r="E61" s="4"/>
      <c r="F61" s="15"/>
    </row>
    <row r="62" spans="1:6" x14ac:dyDescent="0.25">
      <c r="A62" s="4">
        <v>43314</v>
      </c>
      <c r="B62" s="1">
        <v>18</v>
      </c>
      <c r="C62" s="1" t="s">
        <v>13</v>
      </c>
      <c r="D62" s="1" t="s">
        <v>19</v>
      </c>
      <c r="E62" s="4"/>
      <c r="F62" s="15"/>
    </row>
    <row r="63" spans="1:6" x14ac:dyDescent="0.25">
      <c r="A63" s="4">
        <v>43314</v>
      </c>
      <c r="B63" s="1">
        <v>14</v>
      </c>
      <c r="C63" s="1" t="s">
        <v>5</v>
      </c>
      <c r="D63" s="1" t="s">
        <v>8</v>
      </c>
      <c r="E63" s="4"/>
      <c r="F63" s="15"/>
    </row>
    <row r="64" spans="1:6" x14ac:dyDescent="0.25">
      <c r="A64" s="4">
        <v>43314</v>
      </c>
      <c r="B64" s="1">
        <v>5</v>
      </c>
      <c r="C64" s="1" t="s">
        <v>13</v>
      </c>
      <c r="D64" s="1" t="s">
        <v>15</v>
      </c>
      <c r="E64" s="4"/>
      <c r="F64" s="15"/>
    </row>
    <row r="65" spans="1:6" x14ac:dyDescent="0.25">
      <c r="A65" s="4">
        <v>43314</v>
      </c>
      <c r="B65" s="1">
        <v>5</v>
      </c>
      <c r="C65" s="1" t="s">
        <v>5</v>
      </c>
      <c r="D65" s="1" t="s">
        <v>9</v>
      </c>
      <c r="E65" s="4"/>
      <c r="F65" s="15"/>
    </row>
    <row r="66" spans="1:6" x14ac:dyDescent="0.25">
      <c r="A66" s="4">
        <v>43315</v>
      </c>
      <c r="B66" s="1">
        <v>10</v>
      </c>
      <c r="C66" s="1" t="s">
        <v>7</v>
      </c>
      <c r="D66" s="1" t="s">
        <v>16</v>
      </c>
      <c r="E66" s="4"/>
      <c r="F66" s="15"/>
    </row>
    <row r="67" spans="1:6" x14ac:dyDescent="0.25">
      <c r="A67" s="4">
        <v>43315</v>
      </c>
      <c r="B67" s="1">
        <v>12</v>
      </c>
      <c r="C67" s="1" t="s">
        <v>7</v>
      </c>
      <c r="D67" s="1" t="s">
        <v>17</v>
      </c>
      <c r="E67" s="4"/>
      <c r="F67" s="15"/>
    </row>
    <row r="68" spans="1:6" x14ac:dyDescent="0.25">
      <c r="A68" s="4">
        <v>43315</v>
      </c>
      <c r="B68" s="1">
        <v>11</v>
      </c>
      <c r="C68" s="1" t="s">
        <v>10</v>
      </c>
      <c r="D68" s="1" t="s">
        <v>8</v>
      </c>
      <c r="E68" s="4"/>
      <c r="F68" s="15"/>
    </row>
    <row r="69" spans="1:6" x14ac:dyDescent="0.25">
      <c r="A69" s="4">
        <v>43315</v>
      </c>
      <c r="B69" s="1">
        <v>22</v>
      </c>
      <c r="C69" s="1" t="s">
        <v>5</v>
      </c>
      <c r="D69" s="1" t="s">
        <v>9</v>
      </c>
      <c r="E69" s="4"/>
      <c r="F69" s="15"/>
    </row>
    <row r="70" spans="1:6" x14ac:dyDescent="0.25">
      <c r="A70" s="4">
        <v>43315</v>
      </c>
      <c r="B70" s="1">
        <v>11</v>
      </c>
      <c r="C70" s="1" t="s">
        <v>5</v>
      </c>
      <c r="D70" s="1" t="s">
        <v>15</v>
      </c>
      <c r="E70" s="4"/>
      <c r="F70" s="15"/>
    </row>
    <row r="71" spans="1:6" x14ac:dyDescent="0.25">
      <c r="A71" s="4">
        <v>43315</v>
      </c>
      <c r="B71" s="1">
        <v>18</v>
      </c>
      <c r="C71" s="1" t="s">
        <v>7</v>
      </c>
      <c r="D71" s="1" t="s">
        <v>9</v>
      </c>
      <c r="E71" s="4"/>
      <c r="F71" s="15"/>
    </row>
    <row r="72" spans="1:6" x14ac:dyDescent="0.25">
      <c r="A72" s="4">
        <v>43315</v>
      </c>
      <c r="B72" s="1">
        <v>22</v>
      </c>
      <c r="C72" s="1" t="s">
        <v>13</v>
      </c>
      <c r="D72" s="1" t="s">
        <v>14</v>
      </c>
      <c r="E72" s="4"/>
      <c r="F72" s="15"/>
    </row>
    <row r="73" spans="1:6" x14ac:dyDescent="0.25">
      <c r="A73" s="4">
        <v>43315</v>
      </c>
      <c r="B73" s="1">
        <v>13</v>
      </c>
      <c r="C73" s="1" t="s">
        <v>10</v>
      </c>
      <c r="D73" s="1" t="s">
        <v>12</v>
      </c>
      <c r="E73" s="4"/>
      <c r="F73" s="15"/>
    </row>
    <row r="74" spans="1:6" x14ac:dyDescent="0.25">
      <c r="A74" s="4">
        <v>43315</v>
      </c>
      <c r="B74" s="1">
        <v>21</v>
      </c>
      <c r="C74" s="1" t="s">
        <v>10</v>
      </c>
      <c r="D74" s="1" t="s">
        <v>21</v>
      </c>
      <c r="E74" s="4"/>
      <c r="F74" s="15"/>
    </row>
    <row r="75" spans="1:6" x14ac:dyDescent="0.25">
      <c r="A75" s="4">
        <v>43316</v>
      </c>
      <c r="B75" s="1">
        <v>5</v>
      </c>
      <c r="C75" s="1" t="s">
        <v>5</v>
      </c>
      <c r="D75" s="1" t="s">
        <v>6</v>
      </c>
      <c r="E75" s="4"/>
      <c r="F75" s="15"/>
    </row>
    <row r="76" spans="1:6" x14ac:dyDescent="0.25">
      <c r="A76" s="4">
        <v>43316</v>
      </c>
      <c r="B76" s="1">
        <v>5</v>
      </c>
      <c r="C76" s="1" t="s">
        <v>5</v>
      </c>
      <c r="D76" s="1" t="s">
        <v>15</v>
      </c>
      <c r="E76" s="4"/>
      <c r="F76" s="15"/>
    </row>
    <row r="77" spans="1:6" x14ac:dyDescent="0.25">
      <c r="A77" s="4">
        <v>43316</v>
      </c>
      <c r="B77" s="1">
        <v>14</v>
      </c>
      <c r="C77" s="1" t="s">
        <v>10</v>
      </c>
      <c r="D77" s="1" t="s">
        <v>12</v>
      </c>
      <c r="E77" s="4"/>
      <c r="F77" s="15"/>
    </row>
    <row r="78" spans="1:6" x14ac:dyDescent="0.25">
      <c r="A78" s="4">
        <v>43316</v>
      </c>
      <c r="B78" s="1">
        <v>11</v>
      </c>
      <c r="C78" s="1" t="s">
        <v>10</v>
      </c>
      <c r="D78" s="1" t="s">
        <v>19</v>
      </c>
      <c r="E78" s="4"/>
      <c r="F78" s="15"/>
    </row>
    <row r="79" spans="1:6" x14ac:dyDescent="0.25">
      <c r="A79" s="4">
        <v>43316</v>
      </c>
      <c r="B79" s="1">
        <v>15</v>
      </c>
      <c r="C79" s="1" t="s">
        <v>7</v>
      </c>
      <c r="D79" s="1" t="s">
        <v>6</v>
      </c>
      <c r="E79" s="4"/>
      <c r="F79" s="15"/>
    </row>
    <row r="80" spans="1:6" x14ac:dyDescent="0.25">
      <c r="A80" s="4">
        <v>43316</v>
      </c>
      <c r="B80" s="1">
        <v>6</v>
      </c>
      <c r="C80" s="1" t="s">
        <v>7</v>
      </c>
      <c r="D80" s="1" t="s">
        <v>16</v>
      </c>
      <c r="E80" s="4"/>
      <c r="F80" s="15"/>
    </row>
    <row r="81" spans="1:6" x14ac:dyDescent="0.25">
      <c r="A81" s="4">
        <v>43316</v>
      </c>
      <c r="B81" s="1">
        <v>17</v>
      </c>
      <c r="C81" s="1" t="s">
        <v>13</v>
      </c>
      <c r="D81" s="1" t="s">
        <v>14</v>
      </c>
      <c r="E81" s="4"/>
      <c r="F81" s="15"/>
    </row>
    <row r="82" spans="1:6" x14ac:dyDescent="0.25">
      <c r="A82" s="4">
        <v>43316</v>
      </c>
      <c r="B82" s="1">
        <v>20</v>
      </c>
      <c r="C82" s="1" t="s">
        <v>5</v>
      </c>
      <c r="D82" s="1" t="s">
        <v>6</v>
      </c>
      <c r="E82" s="4"/>
      <c r="F82" s="15"/>
    </row>
    <row r="83" spans="1:6" x14ac:dyDescent="0.25">
      <c r="A83" s="4">
        <v>43316</v>
      </c>
      <c r="B83" s="1">
        <v>7</v>
      </c>
      <c r="C83" s="1" t="s">
        <v>5</v>
      </c>
      <c r="D83" s="1" t="s">
        <v>6</v>
      </c>
      <c r="E83" s="4"/>
      <c r="F83" s="15"/>
    </row>
    <row r="84" spans="1:6" x14ac:dyDescent="0.25">
      <c r="A84" s="4">
        <v>43316</v>
      </c>
      <c r="B84" s="1">
        <v>17</v>
      </c>
      <c r="C84" s="1" t="s">
        <v>5</v>
      </c>
      <c r="D84" s="1" t="s">
        <v>14</v>
      </c>
      <c r="E84" s="4"/>
      <c r="F84" s="15"/>
    </row>
    <row r="85" spans="1:6" x14ac:dyDescent="0.25">
      <c r="A85" s="4">
        <v>43316</v>
      </c>
      <c r="B85" s="1">
        <v>19</v>
      </c>
      <c r="C85" s="1" t="s">
        <v>13</v>
      </c>
      <c r="D85" s="1" t="s">
        <v>19</v>
      </c>
      <c r="E85" s="4"/>
      <c r="F85" s="15"/>
    </row>
    <row r="86" spans="1:6" x14ac:dyDescent="0.25">
      <c r="A86" s="4">
        <v>43316</v>
      </c>
      <c r="B86" s="1">
        <v>6</v>
      </c>
      <c r="C86" s="1" t="s">
        <v>7</v>
      </c>
      <c r="D86" s="1" t="s">
        <v>8</v>
      </c>
      <c r="E86" s="4"/>
      <c r="F86" s="15"/>
    </row>
    <row r="87" spans="1:6" x14ac:dyDescent="0.25">
      <c r="A87" s="4">
        <v>43316</v>
      </c>
      <c r="B87" s="1">
        <v>13</v>
      </c>
      <c r="C87" s="1" t="s">
        <v>10</v>
      </c>
      <c r="D87" s="1" t="s">
        <v>9</v>
      </c>
      <c r="E87" s="4"/>
      <c r="F87" s="15"/>
    </row>
    <row r="88" spans="1:6" x14ac:dyDescent="0.25">
      <c r="A88" s="4">
        <v>43316</v>
      </c>
      <c r="B88" s="1">
        <v>17</v>
      </c>
      <c r="C88" s="1" t="s">
        <v>7</v>
      </c>
      <c r="D88" s="1" t="s">
        <v>9</v>
      </c>
      <c r="E88" s="4"/>
      <c r="F88" s="15"/>
    </row>
    <row r="89" spans="1:6" x14ac:dyDescent="0.25">
      <c r="A89" s="4">
        <v>43316</v>
      </c>
      <c r="B89" s="1">
        <v>22</v>
      </c>
      <c r="C89" s="1" t="s">
        <v>13</v>
      </c>
      <c r="D89" s="1" t="s">
        <v>9</v>
      </c>
      <c r="E89" s="4"/>
      <c r="F89" s="15"/>
    </row>
    <row r="90" spans="1:6" x14ac:dyDescent="0.25">
      <c r="A90" s="4">
        <v>43316</v>
      </c>
      <c r="B90" s="1">
        <v>18</v>
      </c>
      <c r="C90" s="1" t="s">
        <v>5</v>
      </c>
      <c r="D90" s="1" t="s">
        <v>6</v>
      </c>
      <c r="E90" s="4"/>
      <c r="F90" s="15"/>
    </row>
    <row r="91" spans="1:6" x14ac:dyDescent="0.25">
      <c r="A91" s="4">
        <v>43316</v>
      </c>
      <c r="B91" s="1">
        <v>17</v>
      </c>
      <c r="C91" s="1" t="s">
        <v>7</v>
      </c>
      <c r="D91" s="1" t="s">
        <v>6</v>
      </c>
      <c r="E91" s="4"/>
      <c r="F91" s="15"/>
    </row>
    <row r="92" spans="1:6" x14ac:dyDescent="0.25">
      <c r="A92" s="4">
        <v>43316</v>
      </c>
      <c r="B92" s="1">
        <v>12</v>
      </c>
      <c r="C92" s="1" t="s">
        <v>5</v>
      </c>
      <c r="D92" s="1" t="s">
        <v>14</v>
      </c>
      <c r="E92" s="4"/>
      <c r="F92" s="15"/>
    </row>
    <row r="93" spans="1:6" x14ac:dyDescent="0.25">
      <c r="A93" s="4">
        <v>43316</v>
      </c>
      <c r="B93" s="1">
        <v>13</v>
      </c>
      <c r="C93" s="1" t="s">
        <v>7</v>
      </c>
      <c r="D93" s="1" t="s">
        <v>14</v>
      </c>
      <c r="E93" s="4"/>
      <c r="F93" s="15"/>
    </row>
    <row r="94" spans="1:6" x14ac:dyDescent="0.25">
      <c r="A94" s="4">
        <v>43316</v>
      </c>
      <c r="B94" s="1">
        <v>21</v>
      </c>
      <c r="C94" s="1" t="s">
        <v>10</v>
      </c>
      <c r="D94" s="1" t="s">
        <v>17</v>
      </c>
      <c r="E94" s="4"/>
      <c r="F94" s="15"/>
    </row>
    <row r="95" spans="1:6" x14ac:dyDescent="0.25">
      <c r="A95" s="4">
        <v>43316</v>
      </c>
      <c r="B95" s="1">
        <v>6</v>
      </c>
      <c r="C95" s="1" t="s">
        <v>7</v>
      </c>
      <c r="D95" s="1" t="s">
        <v>18</v>
      </c>
      <c r="E95" s="4"/>
      <c r="F95" s="15"/>
    </row>
    <row r="96" spans="1:6" x14ac:dyDescent="0.25">
      <c r="A96" s="4">
        <v>43316</v>
      </c>
      <c r="B96" s="1">
        <v>24</v>
      </c>
      <c r="C96" s="1" t="s">
        <v>7</v>
      </c>
      <c r="D96" s="1" t="s">
        <v>21</v>
      </c>
      <c r="E96" s="4"/>
      <c r="F96" s="15"/>
    </row>
    <row r="97" spans="1:6" x14ac:dyDescent="0.25">
      <c r="A97" s="4">
        <v>43316</v>
      </c>
      <c r="B97" s="1">
        <v>17</v>
      </c>
      <c r="C97" s="1" t="s">
        <v>5</v>
      </c>
      <c r="D97" s="1" t="s">
        <v>21</v>
      </c>
      <c r="E97" s="4"/>
      <c r="F97" s="15"/>
    </row>
    <row r="98" spans="1:6" x14ac:dyDescent="0.25">
      <c r="A98" s="4">
        <v>43316</v>
      </c>
      <c r="B98" s="1">
        <v>18</v>
      </c>
      <c r="C98" s="1" t="s">
        <v>13</v>
      </c>
      <c r="D98" s="1" t="s">
        <v>8</v>
      </c>
      <c r="E98" s="4"/>
      <c r="F98" s="15"/>
    </row>
    <row r="99" spans="1:6" x14ac:dyDescent="0.25">
      <c r="A99" s="4">
        <v>43317</v>
      </c>
      <c r="B99" s="1">
        <v>19</v>
      </c>
      <c r="C99" s="1" t="s">
        <v>5</v>
      </c>
      <c r="D99" s="1" t="s">
        <v>6</v>
      </c>
      <c r="E99" s="4"/>
      <c r="F99" s="15"/>
    </row>
    <row r="100" spans="1:6" x14ac:dyDescent="0.25">
      <c r="A100" s="4">
        <v>43317</v>
      </c>
      <c r="B100" s="1">
        <v>16</v>
      </c>
      <c r="C100" s="1" t="s">
        <v>13</v>
      </c>
      <c r="D100" s="1" t="s">
        <v>8</v>
      </c>
      <c r="E100" s="4"/>
      <c r="F100" s="15"/>
    </row>
    <row r="101" spans="1:6" x14ac:dyDescent="0.25">
      <c r="A101" s="4">
        <v>43317</v>
      </c>
      <c r="B101" s="1">
        <v>17</v>
      </c>
      <c r="C101" s="1" t="s">
        <v>7</v>
      </c>
      <c r="D101" s="1" t="s">
        <v>9</v>
      </c>
      <c r="E101" s="4"/>
      <c r="F101" s="15"/>
    </row>
    <row r="102" spans="1:6" x14ac:dyDescent="0.25">
      <c r="A102" s="4">
        <v>43317</v>
      </c>
      <c r="B102" s="1">
        <v>10</v>
      </c>
      <c r="C102" s="1" t="s">
        <v>7</v>
      </c>
      <c r="D102" s="1" t="s">
        <v>6</v>
      </c>
      <c r="E102" s="4"/>
      <c r="F102" s="15"/>
    </row>
    <row r="103" spans="1:6" x14ac:dyDescent="0.25">
      <c r="A103" s="4">
        <v>43317</v>
      </c>
      <c r="B103" s="1">
        <v>16</v>
      </c>
      <c r="C103" s="1" t="s">
        <v>10</v>
      </c>
      <c r="D103" s="1" t="s">
        <v>14</v>
      </c>
      <c r="E103" s="4"/>
      <c r="F103" s="15"/>
    </row>
    <row r="104" spans="1:6" x14ac:dyDescent="0.25">
      <c r="A104" s="4">
        <v>43317</v>
      </c>
      <c r="B104" s="1">
        <v>22</v>
      </c>
      <c r="C104" s="1" t="s">
        <v>13</v>
      </c>
      <c r="D104" s="1" t="s">
        <v>6</v>
      </c>
      <c r="E104" s="4"/>
      <c r="F104" s="15"/>
    </row>
    <row r="105" spans="1:6" x14ac:dyDescent="0.25">
      <c r="A105" s="4">
        <v>43317</v>
      </c>
      <c r="B105" s="1">
        <v>16</v>
      </c>
      <c r="C105" s="1" t="s">
        <v>13</v>
      </c>
      <c r="D105" s="1" t="s">
        <v>14</v>
      </c>
      <c r="E105" s="4"/>
      <c r="F105" s="15"/>
    </row>
    <row r="106" spans="1:6" x14ac:dyDescent="0.25">
      <c r="A106" s="4">
        <v>43317</v>
      </c>
      <c r="B106" s="1">
        <v>23</v>
      </c>
      <c r="C106" s="1" t="s">
        <v>10</v>
      </c>
      <c r="D106" s="1" t="s">
        <v>16</v>
      </c>
      <c r="E106" s="4"/>
      <c r="F106" s="15"/>
    </row>
    <row r="107" spans="1:6" x14ac:dyDescent="0.25">
      <c r="A107" s="4">
        <v>43317</v>
      </c>
      <c r="B107" s="1">
        <v>12</v>
      </c>
      <c r="C107" s="1" t="s">
        <v>5</v>
      </c>
      <c r="D107" s="1" t="s">
        <v>6</v>
      </c>
      <c r="E107" s="4"/>
      <c r="F107" s="15"/>
    </row>
    <row r="108" spans="1:6" x14ac:dyDescent="0.25">
      <c r="A108" s="4">
        <v>43317</v>
      </c>
      <c r="B108" s="1">
        <v>21</v>
      </c>
      <c r="C108" s="1" t="s">
        <v>5</v>
      </c>
      <c r="D108" s="1" t="s">
        <v>21</v>
      </c>
      <c r="E108" s="4"/>
      <c r="F108" s="15"/>
    </row>
    <row r="109" spans="1:6" x14ac:dyDescent="0.25">
      <c r="A109" s="4">
        <v>43317</v>
      </c>
      <c r="B109" s="1">
        <v>8</v>
      </c>
      <c r="C109" s="1" t="s">
        <v>7</v>
      </c>
      <c r="D109" s="1" t="s">
        <v>21</v>
      </c>
      <c r="E109" s="4"/>
      <c r="F109" s="15"/>
    </row>
    <row r="110" spans="1:6" x14ac:dyDescent="0.25">
      <c r="A110" s="4">
        <v>43317</v>
      </c>
      <c r="B110" s="1">
        <v>22</v>
      </c>
      <c r="C110" s="1" t="s">
        <v>13</v>
      </c>
      <c r="D110" s="1" t="s">
        <v>9</v>
      </c>
      <c r="E110" s="4"/>
      <c r="F110" s="15"/>
    </row>
    <row r="111" spans="1:6" x14ac:dyDescent="0.25">
      <c r="A111" s="4">
        <v>43317</v>
      </c>
      <c r="B111" s="1">
        <v>7</v>
      </c>
      <c r="C111" s="1" t="s">
        <v>13</v>
      </c>
      <c r="D111" s="1" t="s">
        <v>9</v>
      </c>
      <c r="E111" s="4"/>
      <c r="F111" s="15"/>
    </row>
    <row r="112" spans="1:6" x14ac:dyDescent="0.25">
      <c r="A112" s="4">
        <v>43317</v>
      </c>
      <c r="B112" s="1">
        <v>19</v>
      </c>
      <c r="C112" s="1" t="s">
        <v>13</v>
      </c>
      <c r="D112" s="1" t="s">
        <v>11</v>
      </c>
      <c r="E112" s="4"/>
      <c r="F112" s="15"/>
    </row>
    <row r="113" spans="1:6" x14ac:dyDescent="0.25">
      <c r="A113" s="4">
        <v>43317</v>
      </c>
      <c r="B113" s="1">
        <v>24</v>
      </c>
      <c r="C113" s="1" t="s">
        <v>7</v>
      </c>
      <c r="D113" s="1" t="s">
        <v>21</v>
      </c>
      <c r="E113" s="4"/>
      <c r="F113" s="15"/>
    </row>
    <row r="114" spans="1:6" x14ac:dyDescent="0.25">
      <c r="A114" s="4">
        <v>43317</v>
      </c>
      <c r="B114" s="1">
        <v>12</v>
      </c>
      <c r="C114" s="1" t="s">
        <v>10</v>
      </c>
      <c r="D114" s="1" t="s">
        <v>15</v>
      </c>
      <c r="E114" s="4"/>
      <c r="F114" s="15"/>
    </row>
    <row r="115" spans="1:6" x14ac:dyDescent="0.25">
      <c r="A115" s="4">
        <v>43317</v>
      </c>
      <c r="B115" s="1">
        <v>22</v>
      </c>
      <c r="C115" s="1" t="s">
        <v>5</v>
      </c>
      <c r="D115" s="1" t="s">
        <v>15</v>
      </c>
      <c r="E115" s="4"/>
      <c r="F115" s="15"/>
    </row>
    <row r="116" spans="1:6" x14ac:dyDescent="0.25">
      <c r="A116" s="4">
        <v>43317</v>
      </c>
      <c r="B116" s="1">
        <v>17</v>
      </c>
      <c r="C116" s="1" t="s">
        <v>10</v>
      </c>
      <c r="D116" s="1" t="s">
        <v>6</v>
      </c>
      <c r="E116" s="4"/>
      <c r="F116" s="15"/>
    </row>
    <row r="117" spans="1:6" x14ac:dyDescent="0.25">
      <c r="A117" s="4">
        <v>43317</v>
      </c>
      <c r="B117" s="1">
        <v>7</v>
      </c>
      <c r="C117" s="1" t="s">
        <v>10</v>
      </c>
      <c r="D117" s="1" t="s">
        <v>14</v>
      </c>
      <c r="E117" s="4"/>
      <c r="F117" s="15"/>
    </row>
    <row r="118" spans="1:6" x14ac:dyDescent="0.25">
      <c r="A118" s="4">
        <v>43317</v>
      </c>
      <c r="B118" s="1">
        <v>13</v>
      </c>
      <c r="C118" s="1" t="s">
        <v>13</v>
      </c>
      <c r="D118" s="1" t="s">
        <v>16</v>
      </c>
      <c r="E118" s="4"/>
      <c r="F118" s="15"/>
    </row>
    <row r="119" spans="1:6" x14ac:dyDescent="0.25">
      <c r="A119" s="4">
        <v>43317</v>
      </c>
      <c r="B119" s="1">
        <v>22</v>
      </c>
      <c r="C119" s="1" t="s">
        <v>10</v>
      </c>
      <c r="D119" s="1" t="s">
        <v>17</v>
      </c>
      <c r="E119" s="4"/>
      <c r="F119" s="15"/>
    </row>
    <row r="120" spans="1:6" x14ac:dyDescent="0.25">
      <c r="A120" s="4">
        <v>43317</v>
      </c>
      <c r="B120" s="1">
        <v>21</v>
      </c>
      <c r="C120" s="1" t="s">
        <v>5</v>
      </c>
      <c r="D120" s="1" t="s">
        <v>18</v>
      </c>
      <c r="E120" s="4"/>
      <c r="F120" s="15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3" max="3" width="11.25" style="1" bestFit="1" customWidth="1"/>
    <col min="4" max="4" width="18.25" style="1" bestFit="1" customWidth="1"/>
    <col min="5" max="5" width="16.125" style="1" bestFit="1" customWidth="1"/>
    <col min="6" max="6" width="15.25" style="1" customWidth="1"/>
    <col min="7" max="7" width="16.25" style="1" customWidth="1"/>
    <col min="8" max="8" width="5.125" style="1" customWidth="1"/>
    <col min="9" max="9" width="15.625" style="1" bestFit="1" customWidth="1"/>
    <col min="10" max="10" width="19.625" style="1" customWidth="1"/>
  </cols>
  <sheetData>
    <row r="1" spans="1:11" x14ac:dyDescent="0.25">
      <c r="A1" s="5" t="s">
        <v>1</v>
      </c>
      <c r="B1" s="5" t="s">
        <v>5</v>
      </c>
      <c r="C1" s="5" t="s">
        <v>23</v>
      </c>
      <c r="D1" s="5" t="s">
        <v>10</v>
      </c>
      <c r="E1" s="5" t="s">
        <v>24</v>
      </c>
      <c r="F1" s="6" t="s">
        <v>25</v>
      </c>
      <c r="G1" s="6" t="s">
        <v>26</v>
      </c>
      <c r="I1" s="5" t="s">
        <v>33</v>
      </c>
      <c r="J1" s="7" t="s">
        <v>27</v>
      </c>
      <c r="K1" s="8">
        <v>6</v>
      </c>
    </row>
    <row r="2" spans="1:11" x14ac:dyDescent="0.25">
      <c r="A2" s="9">
        <v>44409</v>
      </c>
      <c r="B2" s="1">
        <v>239</v>
      </c>
      <c r="C2" s="1">
        <v>83</v>
      </c>
      <c r="D2" s="1">
        <v>209</v>
      </c>
      <c r="E2" s="1">
        <f>SUM(B2:D2)</f>
        <v>531</v>
      </c>
      <c r="F2" s="8">
        <f>E2*$K$1</f>
        <v>3186</v>
      </c>
      <c r="G2" s="1" t="str">
        <f>IF(F2 &gt;= $K$2, "yes", "no")</f>
        <v>yes</v>
      </c>
      <c r="H2" s="9"/>
      <c r="I2" s="12">
        <f t="shared" ref="I2:I32" si="0">E2*NewPrice</f>
        <v>3186</v>
      </c>
      <c r="J2" s="7" t="s">
        <v>28</v>
      </c>
      <c r="K2" s="8">
        <v>1500</v>
      </c>
    </row>
    <row r="3" spans="1:11" x14ac:dyDescent="0.25">
      <c r="A3" s="9">
        <v>44410</v>
      </c>
      <c r="B3" s="1">
        <v>225</v>
      </c>
      <c r="C3" s="1">
        <v>185</v>
      </c>
      <c r="D3" s="1">
        <v>77</v>
      </c>
      <c r="E3" s="1">
        <f t="shared" ref="E3:E32" si="1">SUM(B3:D3)</f>
        <v>487</v>
      </c>
      <c r="F3" s="8">
        <f t="shared" ref="F3:F32" si="2">E3*$K$1</f>
        <v>2922</v>
      </c>
      <c r="G3" s="1" t="str">
        <f t="shared" ref="G3:G32" si="3">IF(F3 &gt;= $K$2, "yes", "no")</f>
        <v>yes</v>
      </c>
      <c r="H3" s="9"/>
      <c r="I3" s="12">
        <f t="shared" si="0"/>
        <v>2922</v>
      </c>
      <c r="J3" s="7" t="s">
        <v>29</v>
      </c>
      <c r="K3" s="10">
        <f>AVERAGE(DailySales)</f>
        <v>2762.1290322580644</v>
      </c>
    </row>
    <row r="4" spans="1:11" x14ac:dyDescent="0.25">
      <c r="A4" s="9">
        <v>44411</v>
      </c>
      <c r="B4" s="1">
        <v>45</v>
      </c>
      <c r="C4" s="1">
        <v>165</v>
      </c>
      <c r="D4" s="1">
        <v>156</v>
      </c>
      <c r="E4" s="1">
        <f t="shared" si="1"/>
        <v>366</v>
      </c>
      <c r="F4" s="8">
        <f t="shared" si="2"/>
        <v>2196</v>
      </c>
      <c r="G4" s="1" t="str">
        <f t="shared" si="3"/>
        <v>yes</v>
      </c>
      <c r="H4" s="9"/>
      <c r="I4" s="12">
        <f t="shared" si="0"/>
        <v>2196</v>
      </c>
      <c r="J4" s="7" t="s">
        <v>30</v>
      </c>
      <c r="K4" s="10">
        <f>MIN(DailySales)</f>
        <v>720</v>
      </c>
    </row>
    <row r="5" spans="1:11" x14ac:dyDescent="0.25">
      <c r="A5" s="9">
        <v>44412</v>
      </c>
      <c r="B5" s="1">
        <v>240</v>
      </c>
      <c r="C5" s="1">
        <v>93</v>
      </c>
      <c r="D5" s="1">
        <v>177</v>
      </c>
      <c r="E5" s="1">
        <f t="shared" si="1"/>
        <v>510</v>
      </c>
      <c r="F5" s="8">
        <f t="shared" si="2"/>
        <v>3060</v>
      </c>
      <c r="G5" s="1" t="str">
        <f t="shared" si="3"/>
        <v>yes</v>
      </c>
      <c r="H5" s="9"/>
      <c r="I5" s="12">
        <f t="shared" si="0"/>
        <v>3060</v>
      </c>
      <c r="J5" s="7" t="s">
        <v>31</v>
      </c>
      <c r="K5" s="10">
        <f>MAX(DailySales)</f>
        <v>4248</v>
      </c>
    </row>
    <row r="6" spans="1:11" x14ac:dyDescent="0.25">
      <c r="A6" s="9">
        <v>44413</v>
      </c>
      <c r="B6" s="1">
        <v>195</v>
      </c>
      <c r="C6" s="1">
        <v>215</v>
      </c>
      <c r="D6" s="1">
        <v>110</v>
      </c>
      <c r="E6" s="1">
        <f t="shared" si="1"/>
        <v>520</v>
      </c>
      <c r="F6" s="8">
        <f t="shared" si="2"/>
        <v>3120</v>
      </c>
      <c r="G6" s="1" t="str">
        <f t="shared" si="3"/>
        <v>yes</v>
      </c>
      <c r="H6" s="9"/>
      <c r="I6" s="12">
        <f t="shared" si="0"/>
        <v>3120</v>
      </c>
    </row>
    <row r="7" spans="1:11" ht="30" x14ac:dyDescent="0.25">
      <c r="A7" s="9">
        <v>44414</v>
      </c>
      <c r="B7" s="1">
        <v>25</v>
      </c>
      <c r="C7" s="1">
        <v>133</v>
      </c>
      <c r="D7" s="1">
        <v>251</v>
      </c>
      <c r="E7" s="1">
        <f t="shared" si="1"/>
        <v>409</v>
      </c>
      <c r="F7" s="8">
        <f t="shared" si="2"/>
        <v>2454</v>
      </c>
      <c r="G7" s="1" t="str">
        <f t="shared" si="3"/>
        <v>yes</v>
      </c>
      <c r="H7" s="9"/>
      <c r="I7" s="12">
        <f t="shared" si="0"/>
        <v>2454</v>
      </c>
      <c r="J7" s="27" t="s">
        <v>34</v>
      </c>
      <c r="K7" s="13">
        <f>AVERAGE(I2:I32)</f>
        <v>2762.1290322580644</v>
      </c>
    </row>
    <row r="8" spans="1:11" x14ac:dyDescent="0.25">
      <c r="A8" s="9">
        <v>44415</v>
      </c>
      <c r="B8" s="1">
        <v>126</v>
      </c>
      <c r="C8" s="1">
        <v>53</v>
      </c>
      <c r="D8" s="1">
        <v>196</v>
      </c>
      <c r="E8" s="1">
        <f t="shared" si="1"/>
        <v>375</v>
      </c>
      <c r="F8" s="8">
        <f t="shared" si="2"/>
        <v>2250</v>
      </c>
      <c r="G8" s="1" t="str">
        <f t="shared" si="3"/>
        <v>yes</v>
      </c>
      <c r="H8" s="9"/>
      <c r="I8" s="12">
        <f t="shared" si="0"/>
        <v>2250</v>
      </c>
      <c r="J8" s="7" t="s">
        <v>32</v>
      </c>
      <c r="K8" s="11">
        <v>6</v>
      </c>
    </row>
    <row r="9" spans="1:11" x14ac:dyDescent="0.25">
      <c r="A9" s="9">
        <v>44416</v>
      </c>
      <c r="B9" s="1">
        <v>263</v>
      </c>
      <c r="C9" s="1">
        <v>141</v>
      </c>
      <c r="D9" s="1">
        <v>37</v>
      </c>
      <c r="E9" s="1">
        <f t="shared" si="1"/>
        <v>441</v>
      </c>
      <c r="F9" s="8">
        <f t="shared" si="2"/>
        <v>2646</v>
      </c>
      <c r="G9" s="1" t="str">
        <f t="shared" si="3"/>
        <v>yes</v>
      </c>
      <c r="H9" s="9"/>
      <c r="I9" s="12">
        <f t="shared" si="0"/>
        <v>2646</v>
      </c>
    </row>
    <row r="10" spans="1:11" x14ac:dyDescent="0.25">
      <c r="A10" s="9">
        <v>44417</v>
      </c>
      <c r="B10" s="1">
        <v>26</v>
      </c>
      <c r="C10" s="1">
        <v>174</v>
      </c>
      <c r="D10" s="1">
        <v>204</v>
      </c>
      <c r="E10" s="1">
        <f t="shared" si="1"/>
        <v>404</v>
      </c>
      <c r="F10" s="8">
        <f t="shared" si="2"/>
        <v>2424</v>
      </c>
      <c r="G10" s="1" t="str">
        <f t="shared" si="3"/>
        <v>yes</v>
      </c>
      <c r="H10" s="9"/>
      <c r="I10" s="12">
        <f t="shared" si="0"/>
        <v>2424</v>
      </c>
      <c r="J10" s="7"/>
    </row>
    <row r="11" spans="1:11" x14ac:dyDescent="0.25">
      <c r="A11" s="9">
        <v>44418</v>
      </c>
      <c r="B11" s="1">
        <v>29</v>
      </c>
      <c r="C11" s="1">
        <v>62</v>
      </c>
      <c r="D11" s="1">
        <v>29</v>
      </c>
      <c r="E11" s="1">
        <f t="shared" si="1"/>
        <v>120</v>
      </c>
      <c r="F11" s="8">
        <f t="shared" si="2"/>
        <v>720</v>
      </c>
      <c r="G11" s="1" t="str">
        <f t="shared" si="3"/>
        <v>no</v>
      </c>
      <c r="H11" s="9"/>
      <c r="I11" s="12">
        <f t="shared" si="0"/>
        <v>720</v>
      </c>
      <c r="J11" s="7"/>
      <c r="K11" s="8"/>
    </row>
    <row r="12" spans="1:11" x14ac:dyDescent="0.25">
      <c r="A12" s="9">
        <v>44419</v>
      </c>
      <c r="B12" s="1">
        <v>210</v>
      </c>
      <c r="C12" s="1">
        <v>238</v>
      </c>
      <c r="D12" s="1">
        <v>98</v>
      </c>
      <c r="E12" s="1">
        <f t="shared" si="1"/>
        <v>546</v>
      </c>
      <c r="F12" s="8">
        <f t="shared" si="2"/>
        <v>3276</v>
      </c>
      <c r="G12" s="1" t="str">
        <f t="shared" si="3"/>
        <v>yes</v>
      </c>
      <c r="H12" s="9"/>
      <c r="I12" s="12">
        <f t="shared" si="0"/>
        <v>3276</v>
      </c>
    </row>
    <row r="13" spans="1:11" x14ac:dyDescent="0.25">
      <c r="A13" s="9">
        <v>44420</v>
      </c>
      <c r="B13" s="1">
        <v>269</v>
      </c>
      <c r="C13" s="1">
        <v>70</v>
      </c>
      <c r="D13" s="1">
        <v>273</v>
      </c>
      <c r="E13" s="1">
        <f t="shared" si="1"/>
        <v>612</v>
      </c>
      <c r="F13" s="8">
        <f t="shared" si="2"/>
        <v>3672</v>
      </c>
      <c r="G13" s="1" t="str">
        <f t="shared" si="3"/>
        <v>yes</v>
      </c>
      <c r="H13" s="9"/>
      <c r="I13" s="12">
        <f t="shared" si="0"/>
        <v>3672</v>
      </c>
    </row>
    <row r="14" spans="1:11" x14ac:dyDescent="0.25">
      <c r="A14" s="9">
        <v>44421</v>
      </c>
      <c r="B14" s="1">
        <v>150</v>
      </c>
      <c r="C14" s="1">
        <v>86</v>
      </c>
      <c r="D14" s="1">
        <v>224</v>
      </c>
      <c r="E14" s="1">
        <f t="shared" si="1"/>
        <v>460</v>
      </c>
      <c r="F14" s="8">
        <f t="shared" si="2"/>
        <v>2760</v>
      </c>
      <c r="G14" s="1" t="str">
        <f t="shared" si="3"/>
        <v>yes</v>
      </c>
      <c r="H14" s="9"/>
      <c r="I14" s="12">
        <f t="shared" si="0"/>
        <v>2760</v>
      </c>
    </row>
    <row r="15" spans="1:11" x14ac:dyDescent="0.25">
      <c r="A15" s="9">
        <v>44422</v>
      </c>
      <c r="B15" s="1">
        <v>70</v>
      </c>
      <c r="C15" s="1">
        <v>189</v>
      </c>
      <c r="D15" s="1">
        <v>55</v>
      </c>
      <c r="E15" s="1">
        <f t="shared" si="1"/>
        <v>314</v>
      </c>
      <c r="F15" s="8">
        <f t="shared" si="2"/>
        <v>1884</v>
      </c>
      <c r="G15" s="1" t="str">
        <f t="shared" si="3"/>
        <v>yes</v>
      </c>
      <c r="H15" s="9"/>
      <c r="I15" s="12">
        <f t="shared" si="0"/>
        <v>1884</v>
      </c>
    </row>
    <row r="16" spans="1:11" x14ac:dyDescent="0.25">
      <c r="A16" s="9">
        <v>44423</v>
      </c>
      <c r="B16" s="1">
        <v>221</v>
      </c>
      <c r="C16" s="1">
        <v>182</v>
      </c>
      <c r="D16" s="1">
        <v>240</v>
      </c>
      <c r="E16" s="1">
        <f t="shared" si="1"/>
        <v>643</v>
      </c>
      <c r="F16" s="8">
        <f t="shared" si="2"/>
        <v>3858</v>
      </c>
      <c r="G16" s="1" t="str">
        <f t="shared" si="3"/>
        <v>yes</v>
      </c>
      <c r="H16" s="9"/>
      <c r="I16" s="12">
        <f t="shared" si="0"/>
        <v>3858</v>
      </c>
    </row>
    <row r="17" spans="1:9" x14ac:dyDescent="0.25">
      <c r="A17" s="9">
        <v>44424</v>
      </c>
      <c r="B17" s="1">
        <v>30</v>
      </c>
      <c r="C17" s="1">
        <v>43</v>
      </c>
      <c r="D17" s="1">
        <v>206</v>
      </c>
      <c r="E17" s="1">
        <f t="shared" si="1"/>
        <v>279</v>
      </c>
      <c r="F17" s="8">
        <f t="shared" si="2"/>
        <v>1674</v>
      </c>
      <c r="G17" s="1" t="str">
        <f t="shared" si="3"/>
        <v>yes</v>
      </c>
      <c r="H17" s="9"/>
      <c r="I17" s="12">
        <f t="shared" si="0"/>
        <v>1674</v>
      </c>
    </row>
    <row r="18" spans="1:9" x14ac:dyDescent="0.25">
      <c r="A18" s="9">
        <v>44425</v>
      </c>
      <c r="B18" s="1">
        <v>53</v>
      </c>
      <c r="C18" s="1">
        <v>143</v>
      </c>
      <c r="D18" s="1">
        <v>259</v>
      </c>
      <c r="E18" s="1">
        <f t="shared" si="1"/>
        <v>455</v>
      </c>
      <c r="F18" s="8">
        <f t="shared" si="2"/>
        <v>2730</v>
      </c>
      <c r="G18" s="1" t="str">
        <f t="shared" si="3"/>
        <v>yes</v>
      </c>
      <c r="H18" s="9"/>
      <c r="I18" s="12">
        <f t="shared" si="0"/>
        <v>2730</v>
      </c>
    </row>
    <row r="19" spans="1:9" x14ac:dyDescent="0.25">
      <c r="A19" s="9">
        <v>44426</v>
      </c>
      <c r="B19" s="1">
        <v>274</v>
      </c>
      <c r="C19" s="1">
        <v>169</v>
      </c>
      <c r="D19" s="1">
        <v>27</v>
      </c>
      <c r="E19" s="1">
        <f t="shared" si="1"/>
        <v>470</v>
      </c>
      <c r="F19" s="8">
        <f t="shared" si="2"/>
        <v>2820</v>
      </c>
      <c r="G19" s="1" t="str">
        <f t="shared" si="3"/>
        <v>yes</v>
      </c>
      <c r="H19" s="9"/>
      <c r="I19" s="12">
        <f t="shared" si="0"/>
        <v>2820</v>
      </c>
    </row>
    <row r="20" spans="1:9" x14ac:dyDescent="0.25">
      <c r="A20" s="9">
        <v>44427</v>
      </c>
      <c r="B20" s="1">
        <v>166</v>
      </c>
      <c r="C20" s="1">
        <v>121</v>
      </c>
      <c r="D20" s="1">
        <v>101</v>
      </c>
      <c r="E20" s="1">
        <f t="shared" si="1"/>
        <v>388</v>
      </c>
      <c r="F20" s="8">
        <f t="shared" si="2"/>
        <v>2328</v>
      </c>
      <c r="G20" s="1" t="str">
        <f t="shared" si="3"/>
        <v>yes</v>
      </c>
      <c r="H20" s="9"/>
      <c r="I20" s="12">
        <f t="shared" si="0"/>
        <v>2328</v>
      </c>
    </row>
    <row r="21" spans="1:9" x14ac:dyDescent="0.25">
      <c r="A21" s="9">
        <v>44428</v>
      </c>
      <c r="B21" s="1">
        <v>211</v>
      </c>
      <c r="C21" s="1">
        <v>66</v>
      </c>
      <c r="D21" s="1">
        <v>69</v>
      </c>
      <c r="E21" s="1">
        <f t="shared" si="1"/>
        <v>346</v>
      </c>
      <c r="F21" s="8">
        <f t="shared" si="2"/>
        <v>2076</v>
      </c>
      <c r="G21" s="1" t="str">
        <f t="shared" si="3"/>
        <v>yes</v>
      </c>
      <c r="H21" s="9"/>
      <c r="I21" s="12">
        <f t="shared" si="0"/>
        <v>2076</v>
      </c>
    </row>
    <row r="22" spans="1:9" x14ac:dyDescent="0.25">
      <c r="A22" s="9">
        <v>44429</v>
      </c>
      <c r="B22" s="1">
        <v>114</v>
      </c>
      <c r="C22" s="1">
        <v>240</v>
      </c>
      <c r="D22" s="1">
        <v>72</v>
      </c>
      <c r="E22" s="1">
        <f t="shared" si="1"/>
        <v>426</v>
      </c>
      <c r="F22" s="8">
        <f t="shared" si="2"/>
        <v>2556</v>
      </c>
      <c r="G22" s="1" t="str">
        <f t="shared" si="3"/>
        <v>yes</v>
      </c>
      <c r="H22" s="9"/>
      <c r="I22" s="12">
        <f t="shared" si="0"/>
        <v>2556</v>
      </c>
    </row>
    <row r="23" spans="1:9" x14ac:dyDescent="0.25">
      <c r="A23" s="9">
        <v>44430</v>
      </c>
      <c r="B23" s="1">
        <v>81</v>
      </c>
      <c r="C23" s="1">
        <v>132</v>
      </c>
      <c r="D23" s="1">
        <v>267</v>
      </c>
      <c r="E23" s="1">
        <f t="shared" si="1"/>
        <v>480</v>
      </c>
      <c r="F23" s="8">
        <f t="shared" si="2"/>
        <v>2880</v>
      </c>
      <c r="G23" s="1" t="str">
        <f t="shared" si="3"/>
        <v>yes</v>
      </c>
      <c r="H23" s="9"/>
      <c r="I23" s="12">
        <f t="shared" si="0"/>
        <v>2880</v>
      </c>
    </row>
    <row r="24" spans="1:9" x14ac:dyDescent="0.25">
      <c r="A24" s="9">
        <v>44431</v>
      </c>
      <c r="B24" s="1">
        <v>273</v>
      </c>
      <c r="C24" s="1">
        <v>241</v>
      </c>
      <c r="D24" s="1">
        <v>194</v>
      </c>
      <c r="E24" s="1">
        <f t="shared" si="1"/>
        <v>708</v>
      </c>
      <c r="F24" s="8">
        <f t="shared" si="2"/>
        <v>4248</v>
      </c>
      <c r="G24" s="1" t="str">
        <f t="shared" si="3"/>
        <v>yes</v>
      </c>
      <c r="H24" s="9"/>
      <c r="I24" s="12">
        <f t="shared" si="0"/>
        <v>4248</v>
      </c>
    </row>
    <row r="25" spans="1:9" x14ac:dyDescent="0.25">
      <c r="A25" s="9">
        <v>44432</v>
      </c>
      <c r="B25" s="1">
        <v>266</v>
      </c>
      <c r="C25" s="1">
        <v>233</v>
      </c>
      <c r="D25" s="1">
        <v>42</v>
      </c>
      <c r="E25" s="1">
        <f t="shared" si="1"/>
        <v>541</v>
      </c>
      <c r="F25" s="8">
        <f t="shared" si="2"/>
        <v>3246</v>
      </c>
      <c r="G25" s="1" t="str">
        <f t="shared" si="3"/>
        <v>yes</v>
      </c>
      <c r="H25" s="9"/>
      <c r="I25" s="12">
        <f t="shared" si="0"/>
        <v>3246</v>
      </c>
    </row>
    <row r="26" spans="1:9" x14ac:dyDescent="0.25">
      <c r="A26" s="9">
        <v>44433</v>
      </c>
      <c r="B26" s="1">
        <v>168</v>
      </c>
      <c r="C26" s="1">
        <v>237</v>
      </c>
      <c r="D26" s="1">
        <v>273</v>
      </c>
      <c r="E26" s="1">
        <f t="shared" si="1"/>
        <v>678</v>
      </c>
      <c r="F26" s="8">
        <f t="shared" si="2"/>
        <v>4068</v>
      </c>
      <c r="G26" s="1" t="str">
        <f t="shared" si="3"/>
        <v>yes</v>
      </c>
      <c r="H26" s="9"/>
      <c r="I26" s="12">
        <f t="shared" si="0"/>
        <v>4068</v>
      </c>
    </row>
    <row r="27" spans="1:9" x14ac:dyDescent="0.25">
      <c r="A27" s="9">
        <v>44434</v>
      </c>
      <c r="B27" s="1">
        <v>54</v>
      </c>
      <c r="C27" s="1">
        <v>265</v>
      </c>
      <c r="D27" s="1">
        <v>255</v>
      </c>
      <c r="E27" s="1">
        <f t="shared" si="1"/>
        <v>574</v>
      </c>
      <c r="F27" s="8">
        <f t="shared" si="2"/>
        <v>3444</v>
      </c>
      <c r="G27" s="1" t="str">
        <f t="shared" si="3"/>
        <v>yes</v>
      </c>
      <c r="H27" s="9"/>
      <c r="I27" s="12">
        <f t="shared" si="0"/>
        <v>3444</v>
      </c>
    </row>
    <row r="28" spans="1:9" x14ac:dyDescent="0.25">
      <c r="A28" s="9">
        <v>44435</v>
      </c>
      <c r="B28" s="1">
        <v>165</v>
      </c>
      <c r="C28" s="1">
        <v>85</v>
      </c>
      <c r="D28" s="1">
        <v>189</v>
      </c>
      <c r="E28" s="1">
        <f t="shared" si="1"/>
        <v>439</v>
      </c>
      <c r="F28" s="8">
        <f t="shared" si="2"/>
        <v>2634</v>
      </c>
      <c r="G28" s="1" t="str">
        <f t="shared" si="3"/>
        <v>yes</v>
      </c>
      <c r="H28" s="9"/>
      <c r="I28" s="12">
        <f t="shared" si="0"/>
        <v>2634</v>
      </c>
    </row>
    <row r="29" spans="1:9" x14ac:dyDescent="0.25">
      <c r="A29" s="9">
        <v>44436</v>
      </c>
      <c r="B29" s="1">
        <v>274</v>
      </c>
      <c r="C29" s="1">
        <v>38</v>
      </c>
      <c r="D29" s="1">
        <v>55</v>
      </c>
      <c r="E29" s="1">
        <f t="shared" si="1"/>
        <v>367</v>
      </c>
      <c r="F29" s="8">
        <f t="shared" si="2"/>
        <v>2202</v>
      </c>
      <c r="G29" s="1" t="str">
        <f t="shared" si="3"/>
        <v>yes</v>
      </c>
      <c r="H29" s="9"/>
      <c r="I29" s="12">
        <f t="shared" si="0"/>
        <v>2202</v>
      </c>
    </row>
    <row r="30" spans="1:9" x14ac:dyDescent="0.25">
      <c r="A30" s="9">
        <v>44437</v>
      </c>
      <c r="B30" s="1">
        <v>25</v>
      </c>
      <c r="C30" s="1">
        <v>222</v>
      </c>
      <c r="D30" s="1">
        <v>188</v>
      </c>
      <c r="E30" s="1">
        <f t="shared" si="1"/>
        <v>435</v>
      </c>
      <c r="F30" s="8">
        <f t="shared" si="2"/>
        <v>2610</v>
      </c>
      <c r="G30" s="1" t="str">
        <f t="shared" si="3"/>
        <v>yes</v>
      </c>
      <c r="H30" s="9"/>
      <c r="I30" s="12">
        <f t="shared" si="0"/>
        <v>2610</v>
      </c>
    </row>
    <row r="31" spans="1:9" x14ac:dyDescent="0.25">
      <c r="A31" s="9">
        <v>44438</v>
      </c>
      <c r="B31" s="1">
        <v>121</v>
      </c>
      <c r="C31" s="1">
        <v>119</v>
      </c>
      <c r="D31" s="1">
        <v>245</v>
      </c>
      <c r="E31" s="1">
        <f t="shared" si="1"/>
        <v>485</v>
      </c>
      <c r="F31" s="8">
        <f t="shared" si="2"/>
        <v>2910</v>
      </c>
      <c r="G31" s="1" t="str">
        <f t="shared" si="3"/>
        <v>yes</v>
      </c>
      <c r="H31" s="9"/>
      <c r="I31" s="12">
        <f t="shared" si="0"/>
        <v>2910</v>
      </c>
    </row>
    <row r="32" spans="1:9" x14ac:dyDescent="0.25">
      <c r="A32" s="9">
        <v>44439</v>
      </c>
      <c r="B32" s="1">
        <v>114</v>
      </c>
      <c r="C32" s="1">
        <v>91</v>
      </c>
      <c r="D32" s="1">
        <v>257</v>
      </c>
      <c r="E32" s="1">
        <f t="shared" si="1"/>
        <v>462</v>
      </c>
      <c r="F32" s="8">
        <f t="shared" si="2"/>
        <v>2772</v>
      </c>
      <c r="G32" s="1" t="str">
        <f t="shared" si="3"/>
        <v>yes</v>
      </c>
      <c r="H32" s="9"/>
      <c r="I32" s="12">
        <f t="shared" si="0"/>
        <v>2772</v>
      </c>
    </row>
  </sheetData>
  <conditionalFormatting sqref="B2:D32">
    <cfRule type="top10" dxfId="0" priority="1" rank="10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C391-8FC9-43C8-8B71-4BB8F060FF6E}">
  <dimension ref="A1:H32"/>
  <sheetViews>
    <sheetView workbookViewId="0">
      <selection activeCell="G1" sqref="G1:G1048576"/>
    </sheetView>
  </sheetViews>
  <sheetFormatPr defaultRowHeight="15" x14ac:dyDescent="0.25"/>
  <cols>
    <col min="1" max="1" width="8.875" style="4"/>
    <col min="3" max="3" width="11.25" style="1" bestFit="1" customWidth="1"/>
    <col min="4" max="4" width="18.25" style="1" bestFit="1" customWidth="1"/>
    <col min="5" max="5" width="16.125" style="1" bestFit="1" customWidth="1"/>
    <col min="6" max="6" width="5.125" style="1" customWidth="1"/>
    <col min="7" max="7" width="15.625" style="1" bestFit="1" customWidth="1"/>
    <col min="8" max="8" width="19.625" style="1" customWidth="1"/>
  </cols>
  <sheetData>
    <row r="1" spans="1:7" x14ac:dyDescent="0.25">
      <c r="A1" s="14" t="s">
        <v>1</v>
      </c>
      <c r="B1" s="5" t="s">
        <v>5</v>
      </c>
      <c r="C1" s="5" t="s">
        <v>23</v>
      </c>
      <c r="D1" s="5" t="s">
        <v>10</v>
      </c>
      <c r="E1" s="5" t="s">
        <v>24</v>
      </c>
    </row>
    <row r="2" spans="1:7" x14ac:dyDescent="0.25">
      <c r="A2" s="4">
        <v>43313</v>
      </c>
      <c r="B2" s="1">
        <v>42</v>
      </c>
      <c r="C2" s="1">
        <v>115</v>
      </c>
      <c r="D2" s="1">
        <v>92</v>
      </c>
      <c r="E2" s="1">
        <f t="shared" ref="E2:E32" si="0">SUM(B2:D2)</f>
        <v>249</v>
      </c>
      <c r="G2" s="4"/>
    </row>
    <row r="3" spans="1:7" x14ac:dyDescent="0.25">
      <c r="A3" s="4">
        <v>43314</v>
      </c>
      <c r="B3" s="1">
        <v>42</v>
      </c>
      <c r="C3" s="1">
        <v>42</v>
      </c>
      <c r="D3" s="1">
        <v>117</v>
      </c>
      <c r="E3" s="1">
        <f t="shared" si="0"/>
        <v>201</v>
      </c>
      <c r="G3" s="4"/>
    </row>
    <row r="4" spans="1:7" x14ac:dyDescent="0.25">
      <c r="A4" s="4">
        <v>43315</v>
      </c>
      <c r="B4" s="1">
        <v>105</v>
      </c>
      <c r="C4" s="1">
        <v>124</v>
      </c>
      <c r="D4" s="1">
        <v>64</v>
      </c>
      <c r="E4" s="1">
        <f t="shared" si="0"/>
        <v>293</v>
      </c>
      <c r="G4" s="4"/>
    </row>
    <row r="5" spans="1:7" x14ac:dyDescent="0.25">
      <c r="A5" s="4">
        <v>43316</v>
      </c>
      <c r="B5" s="1">
        <v>141</v>
      </c>
      <c r="C5" s="1">
        <v>83</v>
      </c>
      <c r="D5" s="1">
        <v>76</v>
      </c>
      <c r="E5" s="1">
        <f t="shared" si="0"/>
        <v>300</v>
      </c>
      <c r="G5" s="4"/>
    </row>
    <row r="6" spans="1:7" x14ac:dyDescent="0.25">
      <c r="A6" s="4">
        <v>43317</v>
      </c>
      <c r="B6" s="1">
        <v>137</v>
      </c>
      <c r="C6" s="1">
        <v>73</v>
      </c>
      <c r="D6" s="1">
        <v>109</v>
      </c>
      <c r="E6" s="1">
        <f t="shared" si="0"/>
        <v>319</v>
      </c>
      <c r="G6" s="4"/>
    </row>
    <row r="7" spans="1:7" x14ac:dyDescent="0.25">
      <c r="A7" s="4">
        <v>43318</v>
      </c>
      <c r="B7" s="1">
        <v>68</v>
      </c>
      <c r="C7" s="1">
        <v>44</v>
      </c>
      <c r="D7" s="1">
        <v>60</v>
      </c>
      <c r="E7" s="1">
        <f t="shared" si="0"/>
        <v>172</v>
      </c>
      <c r="G7" s="4"/>
    </row>
    <row r="8" spans="1:7" x14ac:dyDescent="0.25">
      <c r="A8" s="4">
        <v>43319</v>
      </c>
      <c r="B8" s="1">
        <v>82</v>
      </c>
      <c r="C8" s="1">
        <v>58</v>
      </c>
      <c r="D8" s="1">
        <v>145</v>
      </c>
      <c r="E8" s="1">
        <f t="shared" si="0"/>
        <v>285</v>
      </c>
      <c r="G8" s="4"/>
    </row>
    <row r="9" spans="1:7" x14ac:dyDescent="0.25">
      <c r="A9" s="4">
        <v>43320</v>
      </c>
      <c r="B9" s="1">
        <v>125</v>
      </c>
      <c r="C9" s="1">
        <v>96</v>
      </c>
      <c r="D9" s="1">
        <v>92</v>
      </c>
      <c r="E9" s="1">
        <f t="shared" si="0"/>
        <v>313</v>
      </c>
      <c r="G9" s="4"/>
    </row>
    <row r="10" spans="1:7" x14ac:dyDescent="0.25">
      <c r="A10" s="4">
        <v>43321</v>
      </c>
      <c r="B10" s="1">
        <v>20</v>
      </c>
      <c r="C10" s="1">
        <v>26</v>
      </c>
      <c r="D10" s="1">
        <v>39</v>
      </c>
      <c r="E10" s="1">
        <f t="shared" si="0"/>
        <v>85</v>
      </c>
      <c r="G10" s="4"/>
    </row>
    <row r="11" spans="1:7" x14ac:dyDescent="0.25">
      <c r="A11" s="4">
        <v>43322</v>
      </c>
      <c r="B11" s="1">
        <v>67</v>
      </c>
      <c r="C11" s="1">
        <v>38</v>
      </c>
      <c r="D11" s="1">
        <v>21</v>
      </c>
      <c r="E11" s="1">
        <f t="shared" si="0"/>
        <v>126</v>
      </c>
      <c r="G11" s="4"/>
    </row>
    <row r="12" spans="1:7" x14ac:dyDescent="0.25">
      <c r="A12" s="4">
        <v>43323</v>
      </c>
      <c r="B12" s="1">
        <v>121</v>
      </c>
      <c r="C12" s="1">
        <v>124</v>
      </c>
      <c r="D12" s="1">
        <v>132</v>
      </c>
      <c r="E12" s="1">
        <f t="shared" si="0"/>
        <v>377</v>
      </c>
      <c r="G12" s="4"/>
    </row>
    <row r="13" spans="1:7" x14ac:dyDescent="0.25">
      <c r="A13" s="4">
        <v>43324</v>
      </c>
      <c r="B13" s="1">
        <v>140</v>
      </c>
      <c r="C13" s="1">
        <v>76</v>
      </c>
      <c r="D13" s="1">
        <v>25</v>
      </c>
      <c r="E13" s="1">
        <f t="shared" si="0"/>
        <v>241</v>
      </c>
      <c r="G13" s="4"/>
    </row>
    <row r="14" spans="1:7" x14ac:dyDescent="0.25">
      <c r="A14" s="4">
        <v>43325</v>
      </c>
      <c r="B14" s="1">
        <v>147</v>
      </c>
      <c r="C14" s="1">
        <v>77</v>
      </c>
      <c r="D14" s="1">
        <v>77</v>
      </c>
      <c r="E14" s="1">
        <f t="shared" si="0"/>
        <v>301</v>
      </c>
      <c r="G14" s="4"/>
    </row>
    <row r="15" spans="1:7" x14ac:dyDescent="0.25">
      <c r="A15" s="4">
        <v>43326</v>
      </c>
      <c r="B15" s="1">
        <v>86</v>
      </c>
      <c r="C15" s="1">
        <v>128</v>
      </c>
      <c r="D15" s="1">
        <v>59</v>
      </c>
      <c r="E15" s="1">
        <f t="shared" si="0"/>
        <v>273</v>
      </c>
      <c r="G15" s="4"/>
    </row>
    <row r="16" spans="1:7" x14ac:dyDescent="0.25">
      <c r="A16" s="4">
        <v>43327</v>
      </c>
      <c r="B16" s="1">
        <v>50</v>
      </c>
      <c r="C16" s="1">
        <v>122</v>
      </c>
      <c r="D16" s="1">
        <v>96</v>
      </c>
      <c r="E16" s="1">
        <f t="shared" si="0"/>
        <v>268</v>
      </c>
      <c r="G16" s="4"/>
    </row>
    <row r="17" spans="1:7" x14ac:dyDescent="0.25">
      <c r="A17" s="4">
        <v>43328</v>
      </c>
      <c r="B17" s="1">
        <v>80</v>
      </c>
      <c r="C17" s="1">
        <v>92</v>
      </c>
      <c r="D17" s="1">
        <v>139</v>
      </c>
      <c r="E17" s="1">
        <f t="shared" si="0"/>
        <v>311</v>
      </c>
      <c r="G17" s="4"/>
    </row>
    <row r="18" spans="1:7" x14ac:dyDescent="0.25">
      <c r="A18" s="4">
        <v>43329</v>
      </c>
      <c r="B18" s="1">
        <v>41</v>
      </c>
      <c r="C18" s="1">
        <v>69</v>
      </c>
      <c r="D18" s="1">
        <v>59</v>
      </c>
      <c r="E18" s="1">
        <f t="shared" si="0"/>
        <v>169</v>
      </c>
      <c r="G18" s="4"/>
    </row>
    <row r="19" spans="1:7" x14ac:dyDescent="0.25">
      <c r="A19" s="4">
        <v>43330</v>
      </c>
      <c r="B19" s="1">
        <v>26</v>
      </c>
      <c r="C19" s="1">
        <v>38</v>
      </c>
      <c r="D19" s="1">
        <v>125</v>
      </c>
      <c r="E19" s="1">
        <f t="shared" si="0"/>
        <v>189</v>
      </c>
      <c r="G19" s="4"/>
    </row>
    <row r="20" spans="1:7" x14ac:dyDescent="0.25">
      <c r="A20" s="4">
        <v>43331</v>
      </c>
      <c r="B20" s="1">
        <v>93</v>
      </c>
      <c r="C20" s="1">
        <v>41</v>
      </c>
      <c r="D20" s="1">
        <v>133</v>
      </c>
      <c r="E20" s="1">
        <f t="shared" si="0"/>
        <v>267</v>
      </c>
      <c r="G20" s="4"/>
    </row>
    <row r="21" spans="1:7" x14ac:dyDescent="0.25">
      <c r="A21" s="4">
        <v>43332</v>
      </c>
      <c r="B21" s="1">
        <v>84</v>
      </c>
      <c r="C21" s="1">
        <v>144</v>
      </c>
      <c r="D21" s="1">
        <v>146</v>
      </c>
      <c r="E21" s="1">
        <f t="shared" si="0"/>
        <v>374</v>
      </c>
      <c r="G21" s="4"/>
    </row>
    <row r="22" spans="1:7" x14ac:dyDescent="0.25">
      <c r="A22" s="4">
        <v>43333</v>
      </c>
      <c r="B22" s="1">
        <v>25</v>
      </c>
      <c r="C22" s="1">
        <v>124</v>
      </c>
      <c r="D22" s="1">
        <v>145</v>
      </c>
      <c r="E22" s="1">
        <f t="shared" si="0"/>
        <v>294</v>
      </c>
      <c r="G22" s="4"/>
    </row>
    <row r="23" spans="1:7" x14ac:dyDescent="0.25">
      <c r="A23" s="4">
        <v>43334</v>
      </c>
      <c r="B23" s="1">
        <v>107</v>
      </c>
      <c r="C23" s="1">
        <v>60</v>
      </c>
      <c r="D23" s="1">
        <v>142</v>
      </c>
      <c r="E23" s="1">
        <f t="shared" si="0"/>
        <v>309</v>
      </c>
      <c r="G23" s="4"/>
    </row>
    <row r="24" spans="1:7" x14ac:dyDescent="0.25">
      <c r="A24" s="4">
        <v>43335</v>
      </c>
      <c r="B24" s="1">
        <v>116</v>
      </c>
      <c r="C24" s="1">
        <v>115</v>
      </c>
      <c r="D24" s="1">
        <v>128</v>
      </c>
      <c r="E24" s="1">
        <f t="shared" si="0"/>
        <v>359</v>
      </c>
      <c r="G24" s="4"/>
    </row>
    <row r="25" spans="1:7" x14ac:dyDescent="0.25">
      <c r="A25" s="4">
        <v>43336</v>
      </c>
      <c r="B25" s="1">
        <v>46</v>
      </c>
      <c r="C25" s="1">
        <v>129</v>
      </c>
      <c r="D25" s="1">
        <v>145</v>
      </c>
      <c r="E25" s="1">
        <f t="shared" si="0"/>
        <v>320</v>
      </c>
      <c r="G25" s="4"/>
    </row>
    <row r="26" spans="1:7" x14ac:dyDescent="0.25">
      <c r="A26" s="4">
        <v>43337</v>
      </c>
      <c r="B26" s="1">
        <v>44</v>
      </c>
      <c r="C26" s="1">
        <v>112</v>
      </c>
      <c r="D26" s="1">
        <v>99</v>
      </c>
      <c r="E26" s="1">
        <f t="shared" si="0"/>
        <v>255</v>
      </c>
      <c r="G26" s="4"/>
    </row>
    <row r="27" spans="1:7" x14ac:dyDescent="0.25">
      <c r="A27" s="4">
        <v>43338</v>
      </c>
      <c r="B27" s="1">
        <v>112</v>
      </c>
      <c r="C27" s="1">
        <v>96</v>
      </c>
      <c r="D27" s="1">
        <v>31</v>
      </c>
      <c r="E27" s="1">
        <f t="shared" si="0"/>
        <v>239</v>
      </c>
      <c r="G27" s="4"/>
    </row>
    <row r="28" spans="1:7" x14ac:dyDescent="0.25">
      <c r="A28" s="4">
        <v>43339</v>
      </c>
      <c r="B28" s="1">
        <v>73</v>
      </c>
      <c r="C28" s="1">
        <v>102</v>
      </c>
      <c r="D28" s="1">
        <v>97</v>
      </c>
      <c r="E28" s="1">
        <f t="shared" si="0"/>
        <v>272</v>
      </c>
      <c r="G28" s="4"/>
    </row>
    <row r="29" spans="1:7" x14ac:dyDescent="0.25">
      <c r="A29" s="4">
        <v>43340</v>
      </c>
      <c r="B29" s="1">
        <v>100</v>
      </c>
      <c r="C29" s="1">
        <v>89</v>
      </c>
      <c r="D29" s="1">
        <v>109</v>
      </c>
      <c r="E29" s="1">
        <f t="shared" si="0"/>
        <v>298</v>
      </c>
      <c r="G29" s="4"/>
    </row>
    <row r="30" spans="1:7" x14ac:dyDescent="0.25">
      <c r="A30" s="4">
        <v>43341</v>
      </c>
      <c r="B30" s="1">
        <v>55</v>
      </c>
      <c r="C30" s="1">
        <v>30</v>
      </c>
      <c r="D30" s="1">
        <v>75</v>
      </c>
      <c r="E30" s="1">
        <f t="shared" si="0"/>
        <v>160</v>
      </c>
      <c r="G30" s="4"/>
    </row>
    <row r="31" spans="1:7" x14ac:dyDescent="0.25">
      <c r="A31" s="4">
        <v>43342</v>
      </c>
      <c r="B31" s="1">
        <v>137</v>
      </c>
      <c r="C31" s="1">
        <v>117</v>
      </c>
      <c r="D31" s="1">
        <v>97</v>
      </c>
      <c r="E31" s="1">
        <f t="shared" si="0"/>
        <v>351</v>
      </c>
      <c r="G31" s="4"/>
    </row>
    <row r="32" spans="1:7" x14ac:dyDescent="0.25">
      <c r="A32" s="4">
        <v>43343</v>
      </c>
      <c r="B32" s="1">
        <v>125</v>
      </c>
      <c r="C32" s="1">
        <v>39</v>
      </c>
      <c r="D32" s="1">
        <v>80</v>
      </c>
      <c r="E32" s="1">
        <f t="shared" si="0"/>
        <v>244</v>
      </c>
      <c r="G32" s="4"/>
    </row>
  </sheetData>
  <pageMargins left="0.7" right="0.7" top="0.75" bottom="0.75" header="0.3" footer="0.3"/>
  <pageSetup orientation="portrait" r:id="rId1"/>
  <ignoredErrors>
    <ignoredError sqref="E2:E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2098-EF0B-458C-BA29-004D549038E0}">
  <dimension ref="A1:M32"/>
  <sheetViews>
    <sheetView zoomScaleNormal="100" workbookViewId="0">
      <selection activeCell="A3" sqref="A3"/>
    </sheetView>
  </sheetViews>
  <sheetFormatPr defaultRowHeight="15" x14ac:dyDescent="0.25"/>
  <cols>
    <col min="3" max="3" width="11.25" style="1" bestFit="1" customWidth="1"/>
    <col min="4" max="4" width="18.25" style="1" bestFit="1" customWidth="1"/>
    <col min="5" max="5" width="16.125" style="1" bestFit="1" customWidth="1"/>
    <col min="6" max="6" width="15.25" style="1" customWidth="1"/>
    <col min="7" max="7" width="5.125" style="1" customWidth="1"/>
    <col min="8" max="8" width="19.75" style="1" customWidth="1"/>
  </cols>
  <sheetData>
    <row r="1" spans="1:13" x14ac:dyDescent="0.25">
      <c r="A1" s="5" t="s">
        <v>1</v>
      </c>
      <c r="B1" s="5" t="s">
        <v>5</v>
      </c>
      <c r="C1" s="5" t="s">
        <v>23</v>
      </c>
      <c r="D1" s="5" t="s">
        <v>10</v>
      </c>
      <c r="E1" s="5" t="s">
        <v>24</v>
      </c>
    </row>
    <row r="2" spans="1:13" x14ac:dyDescent="0.25">
      <c r="A2" s="4">
        <v>44409</v>
      </c>
      <c r="B2" s="1">
        <v>140</v>
      </c>
      <c r="C2" s="1">
        <v>49</v>
      </c>
      <c r="D2" s="1">
        <v>110</v>
      </c>
      <c r="E2" s="1">
        <f>SUM(B2:D2)</f>
        <v>299</v>
      </c>
      <c r="M2" s="9"/>
    </row>
    <row r="3" spans="1:13" x14ac:dyDescent="0.25">
      <c r="A3" s="4">
        <v>44410</v>
      </c>
      <c r="B3" s="1">
        <v>141</v>
      </c>
      <c r="C3" s="1">
        <v>100</v>
      </c>
      <c r="D3" s="1">
        <v>133</v>
      </c>
      <c r="E3" s="1">
        <v>375</v>
      </c>
      <c r="M3" s="9"/>
    </row>
    <row r="4" spans="1:13" x14ac:dyDescent="0.25">
      <c r="A4" s="4">
        <v>44411</v>
      </c>
      <c r="B4" s="1">
        <v>32</v>
      </c>
      <c r="C4" s="1">
        <v>68</v>
      </c>
      <c r="D4" s="1">
        <v>35</v>
      </c>
      <c r="E4" s="1">
        <f t="shared" ref="E4:E31" si="0">SUM(B4:D4)</f>
        <v>135</v>
      </c>
      <c r="M4" s="9"/>
    </row>
    <row r="5" spans="1:13" x14ac:dyDescent="0.25">
      <c r="A5" s="4">
        <v>44412</v>
      </c>
      <c r="B5" s="1">
        <v>130</v>
      </c>
      <c r="C5" s="1">
        <v>35</v>
      </c>
      <c r="D5" s="1">
        <v>34</v>
      </c>
      <c r="E5" s="1">
        <f t="shared" si="0"/>
        <v>199</v>
      </c>
      <c r="M5" s="9"/>
    </row>
    <row r="6" spans="1:13" x14ac:dyDescent="0.25">
      <c r="A6" s="4">
        <v>44413</v>
      </c>
      <c r="B6" s="1">
        <v>104</v>
      </c>
      <c r="C6" s="1">
        <v>124</v>
      </c>
      <c r="D6" s="1">
        <v>93</v>
      </c>
      <c r="E6" s="1">
        <f t="shared" si="0"/>
        <v>321</v>
      </c>
      <c r="M6" s="9"/>
    </row>
    <row r="7" spans="1:13" x14ac:dyDescent="0.25">
      <c r="A7" s="4">
        <v>44414</v>
      </c>
      <c r="B7" s="1">
        <v>43</v>
      </c>
      <c r="C7" s="1">
        <v>135</v>
      </c>
      <c r="D7" s="1">
        <v>117</v>
      </c>
      <c r="E7" s="1">
        <f t="shared" si="0"/>
        <v>295</v>
      </c>
      <c r="M7" s="9"/>
    </row>
    <row r="8" spans="1:13" x14ac:dyDescent="0.25">
      <c r="A8" s="4">
        <v>44415</v>
      </c>
      <c r="B8" s="1">
        <v>61</v>
      </c>
      <c r="C8" s="1">
        <v>9</v>
      </c>
      <c r="D8" s="1">
        <v>62</v>
      </c>
      <c r="E8" s="1">
        <f t="shared" si="0"/>
        <v>132</v>
      </c>
      <c r="M8" s="9"/>
    </row>
    <row r="9" spans="1:13" x14ac:dyDescent="0.25">
      <c r="A9" s="4">
        <v>44416</v>
      </c>
      <c r="B9" s="1">
        <v>16</v>
      </c>
      <c r="C9" s="1">
        <v>68</v>
      </c>
      <c r="D9" s="1">
        <v>93</v>
      </c>
      <c r="E9" s="1">
        <f t="shared" si="0"/>
        <v>177</v>
      </c>
      <c r="M9" s="9"/>
    </row>
    <row r="10" spans="1:13" x14ac:dyDescent="0.25">
      <c r="A10" s="4">
        <v>44417</v>
      </c>
      <c r="B10" s="1">
        <v>8</v>
      </c>
      <c r="C10" s="1">
        <v>70</v>
      </c>
      <c r="D10" s="1">
        <v>19</v>
      </c>
      <c r="E10" s="1">
        <f t="shared" si="0"/>
        <v>97</v>
      </c>
      <c r="M10" s="9"/>
    </row>
    <row r="11" spans="1:13" x14ac:dyDescent="0.25">
      <c r="A11" s="4">
        <v>44418</v>
      </c>
      <c r="B11" s="1">
        <v>145</v>
      </c>
      <c r="C11" s="1">
        <v>9</v>
      </c>
      <c r="D11" s="1">
        <v>114</v>
      </c>
      <c r="E11" s="1">
        <v>275</v>
      </c>
      <c r="M11" s="9"/>
    </row>
    <row r="12" spans="1:13" x14ac:dyDescent="0.25">
      <c r="A12" s="4">
        <v>44419</v>
      </c>
      <c r="B12" s="1">
        <v>94</v>
      </c>
      <c r="C12" s="1">
        <v>14</v>
      </c>
      <c r="D12" s="1">
        <v>148</v>
      </c>
      <c r="E12" s="1">
        <f t="shared" si="0"/>
        <v>256</v>
      </c>
      <c r="M12" s="9"/>
    </row>
    <row r="13" spans="1:13" x14ac:dyDescent="0.25">
      <c r="A13" s="4">
        <v>44420</v>
      </c>
      <c r="B13" s="1">
        <v>50</v>
      </c>
      <c r="C13" s="1">
        <v>59</v>
      </c>
      <c r="D13" s="1">
        <v>87</v>
      </c>
      <c r="E13" s="1">
        <f t="shared" si="0"/>
        <v>196</v>
      </c>
      <c r="M13" s="9"/>
    </row>
    <row r="14" spans="1:13" x14ac:dyDescent="0.25">
      <c r="A14" s="4">
        <v>44421</v>
      </c>
      <c r="B14" s="1">
        <v>92</v>
      </c>
      <c r="C14" s="1">
        <v>110</v>
      </c>
      <c r="D14" s="1">
        <v>65</v>
      </c>
      <c r="E14" s="1">
        <f t="shared" si="0"/>
        <v>267</v>
      </c>
      <c r="M14" s="9"/>
    </row>
    <row r="15" spans="1:13" x14ac:dyDescent="0.25">
      <c r="A15" s="4">
        <v>44422</v>
      </c>
      <c r="B15" s="1">
        <v>64</v>
      </c>
      <c r="C15" s="1">
        <v>140</v>
      </c>
      <c r="D15" s="1">
        <v>63</v>
      </c>
      <c r="E15" s="1">
        <f t="shared" si="0"/>
        <v>267</v>
      </c>
      <c r="M15" s="9"/>
    </row>
    <row r="16" spans="1:13" x14ac:dyDescent="0.25">
      <c r="A16" s="4">
        <v>44423</v>
      </c>
      <c r="B16" s="1">
        <v>40</v>
      </c>
      <c r="C16" s="1">
        <v>46</v>
      </c>
      <c r="D16" s="1">
        <v>12</v>
      </c>
      <c r="E16" s="1">
        <f t="shared" si="0"/>
        <v>98</v>
      </c>
      <c r="M16" s="9"/>
    </row>
    <row r="17" spans="1:13" x14ac:dyDescent="0.25">
      <c r="A17" s="4">
        <v>44424</v>
      </c>
      <c r="B17" s="1">
        <v>136</v>
      </c>
      <c r="C17" s="1">
        <v>50</v>
      </c>
      <c r="D17" s="1">
        <v>128</v>
      </c>
      <c r="E17" s="1">
        <f t="shared" si="0"/>
        <v>314</v>
      </c>
      <c r="M17" s="9"/>
    </row>
    <row r="18" spans="1:13" x14ac:dyDescent="0.25">
      <c r="A18" s="4">
        <v>44425</v>
      </c>
      <c r="B18" s="1">
        <v>21</v>
      </c>
      <c r="C18" s="1">
        <v>34</v>
      </c>
      <c r="D18" s="1">
        <v>55</v>
      </c>
      <c r="E18" s="1">
        <f t="shared" si="0"/>
        <v>110</v>
      </c>
      <c r="M18" s="9"/>
    </row>
    <row r="19" spans="1:13" x14ac:dyDescent="0.25">
      <c r="A19" s="4">
        <v>44426</v>
      </c>
      <c r="B19" s="1">
        <v>32</v>
      </c>
      <c r="C19" s="1">
        <v>122</v>
      </c>
      <c r="D19" s="1">
        <v>133</v>
      </c>
      <c r="E19" s="1">
        <f t="shared" si="0"/>
        <v>287</v>
      </c>
      <c r="M19" s="9"/>
    </row>
    <row r="20" spans="1:13" x14ac:dyDescent="0.25">
      <c r="A20" s="4">
        <v>44427</v>
      </c>
      <c r="B20" s="1">
        <v>57</v>
      </c>
      <c r="C20" s="1">
        <v>144</v>
      </c>
      <c r="D20" s="1">
        <v>12</v>
      </c>
      <c r="E20" s="1">
        <f t="shared" si="0"/>
        <v>213</v>
      </c>
      <c r="M20" s="9"/>
    </row>
    <row r="21" spans="1:13" x14ac:dyDescent="0.25">
      <c r="A21" s="4">
        <v>44428</v>
      </c>
      <c r="B21" s="1">
        <v>36</v>
      </c>
      <c r="C21" s="1">
        <v>98</v>
      </c>
      <c r="D21" s="1">
        <v>107</v>
      </c>
      <c r="E21" s="1">
        <f t="shared" si="0"/>
        <v>241</v>
      </c>
      <c r="M21" s="9"/>
    </row>
    <row r="22" spans="1:13" x14ac:dyDescent="0.25">
      <c r="A22" s="4">
        <v>44429</v>
      </c>
      <c r="B22" s="1">
        <v>122</v>
      </c>
      <c r="C22" s="1">
        <v>140</v>
      </c>
      <c r="D22" s="1">
        <v>44</v>
      </c>
      <c r="E22" s="1">
        <f t="shared" si="0"/>
        <v>306</v>
      </c>
      <c r="M22" s="9"/>
    </row>
    <row r="23" spans="1:13" x14ac:dyDescent="0.25">
      <c r="A23" s="4">
        <v>44430</v>
      </c>
      <c r="B23" s="1">
        <v>53</v>
      </c>
      <c r="C23" s="1">
        <v>76</v>
      </c>
      <c r="D23" s="1">
        <v>97</v>
      </c>
      <c r="E23" s="1">
        <f t="shared" si="0"/>
        <v>226</v>
      </c>
      <c r="M23" s="9"/>
    </row>
    <row r="24" spans="1:13" x14ac:dyDescent="0.25">
      <c r="A24" s="4">
        <v>44431</v>
      </c>
      <c r="B24" s="1">
        <v>96</v>
      </c>
      <c r="C24" s="1">
        <v>122</v>
      </c>
      <c r="D24" s="1">
        <v>48</v>
      </c>
      <c r="E24" s="1">
        <f t="shared" si="0"/>
        <v>266</v>
      </c>
      <c r="M24" s="9"/>
    </row>
    <row r="25" spans="1:13" x14ac:dyDescent="0.25">
      <c r="A25" s="4">
        <v>44432</v>
      </c>
      <c r="B25" s="1">
        <v>96</v>
      </c>
      <c r="C25" s="1">
        <v>100</v>
      </c>
      <c r="D25" s="1">
        <v>43</v>
      </c>
      <c r="E25" s="1">
        <f t="shared" si="0"/>
        <v>239</v>
      </c>
      <c r="M25" s="9"/>
    </row>
    <row r="26" spans="1:13" x14ac:dyDescent="0.25">
      <c r="A26" s="4">
        <v>44433</v>
      </c>
      <c r="B26" s="1">
        <v>118</v>
      </c>
      <c r="C26" s="1">
        <v>106</v>
      </c>
      <c r="D26" s="1">
        <v>30</v>
      </c>
      <c r="E26" s="1">
        <v>251</v>
      </c>
      <c r="M26" s="9"/>
    </row>
    <row r="27" spans="1:13" x14ac:dyDescent="0.25">
      <c r="A27" s="4">
        <v>44434</v>
      </c>
      <c r="B27" s="1">
        <v>115</v>
      </c>
      <c r="C27" s="1">
        <v>61</v>
      </c>
      <c r="D27" s="1">
        <v>47</v>
      </c>
      <c r="E27" s="1">
        <f t="shared" si="0"/>
        <v>223</v>
      </c>
      <c r="M27" s="9"/>
    </row>
    <row r="28" spans="1:13" x14ac:dyDescent="0.25">
      <c r="A28" s="4">
        <v>44435</v>
      </c>
      <c r="B28" s="1">
        <v>29</v>
      </c>
      <c r="C28" s="1">
        <v>53</v>
      </c>
      <c r="D28" s="1">
        <v>133</v>
      </c>
      <c r="E28" s="1">
        <f t="shared" si="0"/>
        <v>215</v>
      </c>
      <c r="M28" s="9"/>
    </row>
    <row r="29" spans="1:13" x14ac:dyDescent="0.25">
      <c r="A29" s="4">
        <v>44436</v>
      </c>
      <c r="B29" s="1">
        <v>20</v>
      </c>
      <c r="C29" s="1">
        <v>124</v>
      </c>
      <c r="D29" s="1">
        <v>10</v>
      </c>
      <c r="E29" s="1">
        <f t="shared" si="0"/>
        <v>154</v>
      </c>
      <c r="M29" s="9"/>
    </row>
    <row r="30" spans="1:13" x14ac:dyDescent="0.25">
      <c r="A30" s="4">
        <v>44437</v>
      </c>
      <c r="B30" s="1">
        <v>66</v>
      </c>
      <c r="C30" s="1">
        <v>73</v>
      </c>
      <c r="D30" s="1">
        <v>130</v>
      </c>
      <c r="E30" s="1">
        <f t="shared" si="0"/>
        <v>269</v>
      </c>
      <c r="M30" s="9"/>
    </row>
    <row r="31" spans="1:13" x14ac:dyDescent="0.25">
      <c r="A31" s="4">
        <v>44438</v>
      </c>
      <c r="B31" s="1">
        <v>73</v>
      </c>
      <c r="C31" s="1">
        <v>78</v>
      </c>
      <c r="D31" s="1">
        <v>124</v>
      </c>
      <c r="E31" s="1">
        <f t="shared" si="0"/>
        <v>275</v>
      </c>
      <c r="M31" s="9"/>
    </row>
    <row r="32" spans="1:13" x14ac:dyDescent="0.25">
      <c r="A32" s="4">
        <v>44439</v>
      </c>
      <c r="B32" s="1">
        <v>93</v>
      </c>
      <c r="C32" s="1">
        <v>42</v>
      </c>
      <c r="D32" s="1">
        <v>76</v>
      </c>
      <c r="E32" s="1">
        <v>205</v>
      </c>
      <c r="M32" s="9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FD26-A482-45B7-82AD-E5FBF35ACAC7}">
  <dimension ref="A1:H13"/>
  <sheetViews>
    <sheetView workbookViewId="0">
      <selection activeCell="J14" sqref="J14"/>
    </sheetView>
  </sheetViews>
  <sheetFormatPr defaultRowHeight="15" x14ac:dyDescent="0.25"/>
  <cols>
    <col min="1" max="1" width="6.75" bestFit="1" customWidth="1"/>
    <col min="2" max="2" width="11.375" bestFit="1" customWidth="1"/>
    <col min="3" max="3" width="11.5" bestFit="1" customWidth="1"/>
    <col min="4" max="4" width="19.625" bestFit="1" customWidth="1"/>
    <col min="5" max="5" width="16.625" bestFit="1" customWidth="1"/>
    <col min="6" max="6" width="9.625" bestFit="1" customWidth="1"/>
    <col min="7" max="7" width="12.625" bestFit="1" customWidth="1"/>
    <col min="8" max="8" width="11.25" bestFit="1" customWidth="1"/>
  </cols>
  <sheetData>
    <row r="1" spans="1:8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</row>
    <row r="2" spans="1:8" x14ac:dyDescent="0.25">
      <c r="A2" t="s">
        <v>59</v>
      </c>
      <c r="B2" t="s">
        <v>60</v>
      </c>
      <c r="C2" t="s">
        <v>61</v>
      </c>
      <c r="D2" t="s">
        <v>62</v>
      </c>
      <c r="E2" t="s">
        <v>63</v>
      </c>
      <c r="F2">
        <v>33186</v>
      </c>
      <c r="G2" t="s">
        <v>64</v>
      </c>
      <c r="H2" t="str">
        <f>_xlfn.CONCAT(C2," ",B2)</f>
        <v>Jamie Easton</v>
      </c>
    </row>
    <row r="3" spans="1:8" x14ac:dyDescent="0.25">
      <c r="A3" t="s">
        <v>59</v>
      </c>
      <c r="B3" t="s">
        <v>65</v>
      </c>
      <c r="C3" t="s">
        <v>66</v>
      </c>
      <c r="D3" t="s">
        <v>67</v>
      </c>
      <c r="E3" t="s">
        <v>68</v>
      </c>
      <c r="F3">
        <v>33403</v>
      </c>
      <c r="G3" t="s">
        <v>69</v>
      </c>
      <c r="H3" t="str">
        <f t="shared" ref="H3:H13" si="0">_xlfn.CONCAT(C3," ",B3)</f>
        <v>John Grant</v>
      </c>
    </row>
    <row r="4" spans="1:8" x14ac:dyDescent="0.25">
      <c r="A4" t="s">
        <v>70</v>
      </c>
      <c r="B4" t="s">
        <v>71</v>
      </c>
      <c r="C4" t="s">
        <v>72</v>
      </c>
      <c r="D4" t="s">
        <v>73</v>
      </c>
      <c r="E4" t="s">
        <v>74</v>
      </c>
      <c r="F4">
        <v>33316</v>
      </c>
      <c r="G4" t="s">
        <v>75</v>
      </c>
      <c r="H4" t="str">
        <f t="shared" si="0"/>
        <v>Nora McDonald</v>
      </c>
    </row>
    <row r="5" spans="1:8" x14ac:dyDescent="0.25">
      <c r="A5" t="s">
        <v>70</v>
      </c>
      <c r="B5" t="s">
        <v>76</v>
      </c>
      <c r="C5" t="s">
        <v>77</v>
      </c>
      <c r="D5" t="s">
        <v>78</v>
      </c>
      <c r="E5" t="s">
        <v>68</v>
      </c>
      <c r="F5">
        <v>33417</v>
      </c>
      <c r="G5" t="s">
        <v>79</v>
      </c>
      <c r="H5" t="str">
        <f t="shared" si="0"/>
        <v>Rosalie Rand</v>
      </c>
    </row>
    <row r="6" spans="1:8" x14ac:dyDescent="0.25">
      <c r="A6" t="s">
        <v>59</v>
      </c>
      <c r="B6" t="s">
        <v>80</v>
      </c>
      <c r="C6" t="s">
        <v>81</v>
      </c>
      <c r="D6" t="s">
        <v>82</v>
      </c>
      <c r="E6" t="s">
        <v>68</v>
      </c>
      <c r="F6">
        <v>33417</v>
      </c>
      <c r="G6" t="s">
        <v>83</v>
      </c>
      <c r="H6" t="str">
        <f t="shared" si="0"/>
        <v>Ronald Rayner</v>
      </c>
    </row>
    <row r="7" spans="1:8" x14ac:dyDescent="0.25">
      <c r="A7" t="s">
        <v>59</v>
      </c>
      <c r="B7" t="s">
        <v>84</v>
      </c>
      <c r="C7" t="s">
        <v>85</v>
      </c>
      <c r="D7" t="s">
        <v>86</v>
      </c>
      <c r="E7" t="s">
        <v>74</v>
      </c>
      <c r="F7">
        <v>33304</v>
      </c>
      <c r="G7" t="s">
        <v>87</v>
      </c>
      <c r="H7" t="str">
        <f t="shared" si="0"/>
        <v>Steven Riggs</v>
      </c>
    </row>
    <row r="8" spans="1:8" x14ac:dyDescent="0.25">
      <c r="A8" t="s">
        <v>59</v>
      </c>
      <c r="B8" t="s">
        <v>88</v>
      </c>
      <c r="C8" t="s">
        <v>89</v>
      </c>
      <c r="D8" t="s">
        <v>90</v>
      </c>
      <c r="E8" t="s">
        <v>63</v>
      </c>
      <c r="F8">
        <v>33186</v>
      </c>
      <c r="G8" t="s">
        <v>91</v>
      </c>
      <c r="H8" t="str">
        <f t="shared" si="0"/>
        <v>Robert Sturm</v>
      </c>
    </row>
    <row r="9" spans="1:8" x14ac:dyDescent="0.25">
      <c r="A9" t="s">
        <v>70</v>
      </c>
      <c r="B9" t="s">
        <v>92</v>
      </c>
      <c r="C9" t="s">
        <v>93</v>
      </c>
      <c r="D9" t="s">
        <v>94</v>
      </c>
      <c r="E9" t="s">
        <v>74</v>
      </c>
      <c r="F9">
        <v>33301</v>
      </c>
      <c r="G9" t="s">
        <v>95</v>
      </c>
      <c r="H9" t="str">
        <f t="shared" si="0"/>
        <v>Jane Walker</v>
      </c>
    </row>
    <row r="10" spans="1:8" x14ac:dyDescent="0.25">
      <c r="A10" t="s">
        <v>70</v>
      </c>
      <c r="B10" t="s">
        <v>96</v>
      </c>
      <c r="C10" t="s">
        <v>97</v>
      </c>
      <c r="D10" t="s">
        <v>98</v>
      </c>
      <c r="E10" t="s">
        <v>74</v>
      </c>
      <c r="F10">
        <v>33304</v>
      </c>
      <c r="G10" t="s">
        <v>99</v>
      </c>
      <c r="H10" t="str">
        <f t="shared" si="0"/>
        <v>Susan Wallace</v>
      </c>
    </row>
    <row r="11" spans="1:8" x14ac:dyDescent="0.25">
      <c r="A11" t="s">
        <v>70</v>
      </c>
      <c r="B11" t="s">
        <v>100</v>
      </c>
      <c r="C11" t="s">
        <v>101</v>
      </c>
      <c r="D11" t="s">
        <v>102</v>
      </c>
      <c r="E11" t="s">
        <v>68</v>
      </c>
      <c r="F11">
        <v>33412</v>
      </c>
      <c r="G11" t="s">
        <v>103</v>
      </c>
      <c r="H11" t="str">
        <f t="shared" si="0"/>
        <v>Amy Willis</v>
      </c>
    </row>
    <row r="12" spans="1:8" x14ac:dyDescent="0.25">
      <c r="A12" t="s">
        <v>59</v>
      </c>
      <c r="B12" t="s">
        <v>104</v>
      </c>
      <c r="C12" t="s">
        <v>105</v>
      </c>
      <c r="D12" t="s">
        <v>106</v>
      </c>
      <c r="E12" t="s">
        <v>68</v>
      </c>
      <c r="F12">
        <v>33414</v>
      </c>
      <c r="G12" t="s">
        <v>107</v>
      </c>
      <c r="H12" t="str">
        <f t="shared" si="0"/>
        <v>Nathan Wuellner</v>
      </c>
    </row>
    <row r="13" spans="1:8" x14ac:dyDescent="0.25">
      <c r="A13" t="s">
        <v>70</v>
      </c>
      <c r="B13" t="s">
        <v>108</v>
      </c>
      <c r="C13" t="s">
        <v>109</v>
      </c>
      <c r="D13" t="s">
        <v>110</v>
      </c>
      <c r="E13" t="s">
        <v>74</v>
      </c>
      <c r="F13">
        <v>33316</v>
      </c>
      <c r="G13" t="s">
        <v>111</v>
      </c>
      <c r="H13" t="str">
        <f t="shared" si="0"/>
        <v>Annie Zhou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enna xmlns="http://customxml.org">
  <kers>Z8Co/uAtii0Z3ZOrBZPckxvrY3HCxsDQdsxVwI4ymvo=</kers>
  <massa>12/9/2025 8:55:31 AM</massa>
  <hamilton>true</hamilton>
</senna>
</file>

<file path=customXml/item2.xml>��
</file>

<file path=customXml/itemProps1.xml><?xml version="1.0" encoding="utf-8"?>
<ds:datastoreItem xmlns:ds="http://schemas.openxmlformats.org/officeDocument/2006/customXml" ds:itemID="{048F6D80-D035-430B-A5FF-95D38CEF1C9D}">
  <ds:schemaRefs>
    <ds:schemaRef ds:uri="http://customxml.org"/>
  </ds:schemaRefs>
</ds:datastoreItem>
</file>

<file path=customXml/itemProps2.xml><?xml version="1.0" encoding="utf-8"?>
<ds:datastoreItem xmlns:ds="http://schemas.openxmlformats.org/officeDocument/2006/customXml" ds:itemID="{C63CEAFA-1B61-4E3D-BE9A-AA2C661E22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MobileSales</vt:lpstr>
      <vt:lpstr>TruckLoan</vt:lpstr>
      <vt:lpstr>OnlineSales</vt:lpstr>
      <vt:lpstr>BOGOSale2018</vt:lpstr>
      <vt:lpstr>TysonsStore2021</vt:lpstr>
      <vt:lpstr>TysonsStore2018</vt:lpstr>
      <vt:lpstr>OldTownStore</vt:lpstr>
      <vt:lpstr>Customers</vt:lpstr>
      <vt:lpstr>DailySales</vt:lpstr>
      <vt:lpstr>TysonsStore2018!NewPrice</vt:lpstr>
      <vt:lpstr>NewPrice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Promise Beshel</cp:lastModifiedBy>
  <cp:lastPrinted>2025-12-09T16:56:00Z</cp:lastPrinted>
  <dcterms:created xsi:type="dcterms:W3CDTF">2014-07-28T15:21:20Z</dcterms:created>
  <dcterms:modified xsi:type="dcterms:W3CDTF">2025-12-10T19:20:03Z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_schema_validation">
    <vt:lpwstr>[{"Key":"kers","Value":"Z8Co/uAtii0Z3ZOrBZPckxvrY3HCxsDQdsxVwI4ymvo="},{"Key":"massa","Value":"12/9/2025 8:55:31 AM"},{"Key":"hamilton","Value":"true"}]</vt:lpwstr>
  </property>
</Properties>
</file>