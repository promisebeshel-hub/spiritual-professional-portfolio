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BYU ENSIGN\BAP115.001\"/>
    </mc:Choice>
  </mc:AlternateContent>
  <xr:revisionPtr revIDLastSave="0" documentId="8_{33B1789F-791E-44B7-A8A2-ED1D8EFBAA63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Customer List" sheetId="10" r:id="rId1"/>
    <sheet name="Sales Analysis" sheetId="11" r:id="rId2"/>
    <sheet name="February Sales" sheetId="12" r:id="rId3"/>
    <sheet name="Custom Filter" sheetId="14" r:id="rId4"/>
  </sheets>
  <definedNames>
    <definedName name="_xlnm._FilterDatabase" localSheetId="3" hidden="1">'Custom Filter'!$A$5:$I$69</definedName>
    <definedName name="_xlnm.Criteria" localSheetId="3">'Custom Filter'!$A$1:$I$3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11" l="1"/>
  <c r="I66" i="11"/>
</calcChain>
</file>

<file path=xl/sharedStrings.xml><?xml version="1.0" encoding="utf-8"?>
<sst xmlns="http://schemas.openxmlformats.org/spreadsheetml/2006/main" count="1292" uniqueCount="172">
  <si>
    <t>First Name</t>
  </si>
  <si>
    <t>Last Name</t>
  </si>
  <si>
    <t>Street</t>
  </si>
  <si>
    <t>City</t>
  </si>
  <si>
    <t>State</t>
  </si>
  <si>
    <t>Zip</t>
  </si>
  <si>
    <t>Jacobs</t>
  </si>
  <si>
    <t>417 9th St.</t>
  </si>
  <si>
    <t>Rocklin</t>
  </si>
  <si>
    <t>CA</t>
  </si>
  <si>
    <t>Roseville</t>
  </si>
  <si>
    <t>Smith</t>
  </si>
  <si>
    <t>Emily</t>
  </si>
  <si>
    <t>Zach</t>
  </si>
  <si>
    <t>Barbra</t>
  </si>
  <si>
    <t>Walter</t>
  </si>
  <si>
    <t>Jerry</t>
  </si>
  <si>
    <t>Christopher</t>
  </si>
  <si>
    <t>Keith</t>
  </si>
  <si>
    <t>Byung</t>
  </si>
  <si>
    <t>Na</t>
  </si>
  <si>
    <t>Sharon</t>
  </si>
  <si>
    <t>Williams</t>
  </si>
  <si>
    <t>David</t>
  </si>
  <si>
    <t>Pell</t>
  </si>
  <si>
    <t>890 1st Ave.</t>
  </si>
  <si>
    <t>Karen</t>
  </si>
  <si>
    <t>Jones</t>
  </si>
  <si>
    <t>Auburn</t>
  </si>
  <si>
    <t>Larry</t>
  </si>
  <si>
    <t>Brenda</t>
  </si>
  <si>
    <t>Lee</t>
  </si>
  <si>
    <t>Matt</t>
  </si>
  <si>
    <t>Nagato</t>
  </si>
  <si>
    <t>Techi</t>
  </si>
  <si>
    <t>Nagasaki</t>
  </si>
  <si>
    <t>Marie</t>
  </si>
  <si>
    <t>Lonsdale</t>
  </si>
  <si>
    <t>Juan</t>
  </si>
  <si>
    <t>Negreedy</t>
  </si>
  <si>
    <t>Kim</t>
  </si>
  <si>
    <t>Chama</t>
  </si>
  <si>
    <t>Charles</t>
  </si>
  <si>
    <t>Larrina</t>
  </si>
  <si>
    <t>Castle</t>
  </si>
  <si>
    <t>Katherine</t>
  </si>
  <si>
    <t>Willows</t>
  </si>
  <si>
    <t>James</t>
  </si>
  <si>
    <t>Bond</t>
  </si>
  <si>
    <t>William</t>
  </si>
  <si>
    <t>Scott</t>
  </si>
  <si>
    <t>Bethany</t>
  </si>
  <si>
    <t>Johnson</t>
  </si>
  <si>
    <t>Gerald</t>
  </si>
  <si>
    <t>Loomis</t>
  </si>
  <si>
    <t>Grande</t>
  </si>
  <si>
    <t>Newcastle</t>
  </si>
  <si>
    <t>Louisa</t>
  </si>
  <si>
    <t>Harold</t>
  </si>
  <si>
    <t>Muchley</t>
  </si>
  <si>
    <t>Michael</t>
  </si>
  <si>
    <t>Holland</t>
  </si>
  <si>
    <t>Adam</t>
  </si>
  <si>
    <t>Sanchaz</t>
  </si>
  <si>
    <t>8852 Smith Lane</t>
  </si>
  <si>
    <t>Claire</t>
  </si>
  <si>
    <t>Watkins</t>
  </si>
  <si>
    <t>446 Chester Ave</t>
  </si>
  <si>
    <t>Jackson</t>
  </si>
  <si>
    <t>Thatcher</t>
  </si>
  <si>
    <t>Cater</t>
  </si>
  <si>
    <t>852 Park Place</t>
  </si>
  <si>
    <t>Slocum</t>
  </si>
  <si>
    <t>543 Lily Av</t>
  </si>
  <si>
    <t>Chuck</t>
  </si>
  <si>
    <t>Melon</t>
  </si>
  <si>
    <t>387 Day St</t>
  </si>
  <si>
    <t>Ace</t>
  </si>
  <si>
    <t>Bill</t>
  </si>
  <si>
    <t>Perry</t>
  </si>
  <si>
    <t>Robert</t>
  </si>
  <si>
    <t>5366 Onyx Drive</t>
  </si>
  <si>
    <t>Debbie</t>
  </si>
  <si>
    <t>Linzy</t>
  </si>
  <si>
    <t>Josh</t>
  </si>
  <si>
    <t>Newman</t>
  </si>
  <si>
    <t>4477 Emerald Road</t>
  </si>
  <si>
    <t>Cindy</t>
  </si>
  <si>
    <t>Nicks</t>
  </si>
  <si>
    <t>2897 Tyler Street</t>
  </si>
  <si>
    <t>Lincoln</t>
  </si>
  <si>
    <t>Wilson</t>
  </si>
  <si>
    <t>1925 Park Ln.</t>
  </si>
  <si>
    <t>Colfax</t>
  </si>
  <si>
    <t>Nettle</t>
  </si>
  <si>
    <t>45 High St.</t>
  </si>
  <si>
    <t>Frost</t>
  </si>
  <si>
    <t>O'Neil</t>
  </si>
  <si>
    <t>6312 Westridge Ave.</t>
  </si>
  <si>
    <t>Alta</t>
  </si>
  <si>
    <t>Hawkins</t>
  </si>
  <si>
    <t>87441 Palace Square</t>
  </si>
  <si>
    <t>9225 Marchmont Dr</t>
  </si>
  <si>
    <t>8852 Jones Lane</t>
  </si>
  <si>
    <t>2275 Oak Park Lane</t>
  </si>
  <si>
    <t>14 Header Dr</t>
  </si>
  <si>
    <t>9083 Rocky Rd</t>
  </si>
  <si>
    <t>883 Forest Drive</t>
  </si>
  <si>
    <t>2323 Windyl Drive</t>
  </si>
  <si>
    <t>4477 Jade Road</t>
  </si>
  <si>
    <t>1400 Racer Terrace</t>
  </si>
  <si>
    <t>1453 Frosty St.</t>
  </si>
  <si>
    <t>5678 Oak Ave.</t>
  </si>
  <si>
    <t>7823 Seacrest</t>
  </si>
  <si>
    <t>23 Shadow Ln</t>
  </si>
  <si>
    <t>725 Wave st.</t>
  </si>
  <si>
    <t>858 Steal Way</t>
  </si>
  <si>
    <t>443 Harty Ave.</t>
  </si>
  <si>
    <t>564 Newby Street</t>
  </si>
  <si>
    <t>48265 Long St</t>
  </si>
  <si>
    <t>852 Spree St</t>
  </si>
  <si>
    <t>1007 Pagent St</t>
  </si>
  <si>
    <t>8584 Sure Ln</t>
  </si>
  <si>
    <t>5687 Art Way</t>
  </si>
  <si>
    <t>4412 Meanie Street</t>
  </si>
  <si>
    <t>Yuba City</t>
  </si>
  <si>
    <t>Heather</t>
  </si>
  <si>
    <t>Baldwin</t>
  </si>
  <si>
    <t>Catherine</t>
  </si>
  <si>
    <t>Tiller</t>
  </si>
  <si>
    <t>Bobby</t>
  </si>
  <si>
    <t>Terry</t>
  </si>
  <si>
    <t>Bellhouse</t>
  </si>
  <si>
    <t>25472 Sierra Way</t>
  </si>
  <si>
    <t>255 West Street</t>
  </si>
  <si>
    <t>Irad</t>
  </si>
  <si>
    <t>10501 Loraine Drive</t>
  </si>
  <si>
    <t>Keli</t>
  </si>
  <si>
    <t>Tulane</t>
  </si>
  <si>
    <t>Whittier</t>
  </si>
  <si>
    <t>Jose</t>
  </si>
  <si>
    <t>Hernandez</t>
  </si>
  <si>
    <t>Jon</t>
  </si>
  <si>
    <t>7834 Richmond Road</t>
  </si>
  <si>
    <t>Vivian</t>
  </si>
  <si>
    <t>Brewer</t>
  </si>
  <si>
    <t>87543 Baldwin Road</t>
  </si>
  <si>
    <t>Janet</t>
  </si>
  <si>
    <t>Kaitlynn</t>
  </si>
  <si>
    <t>Washington</t>
  </si>
  <si>
    <t>Jimmy</t>
  </si>
  <si>
    <t>Castellano</t>
  </si>
  <si>
    <t>2068 Herry Hill</t>
  </si>
  <si>
    <t>10 Seaview Road</t>
  </si>
  <si>
    <t>Rebecca</t>
  </si>
  <si>
    <t>Runa</t>
  </si>
  <si>
    <t>844 Harley Road</t>
  </si>
  <si>
    <t>Bruce</t>
  </si>
  <si>
    <t>Amy</t>
  </si>
  <si>
    <t>Joel</t>
  </si>
  <si>
    <t>Noah</t>
  </si>
  <si>
    <t>Chloe</t>
  </si>
  <si>
    <t>Brabbage</t>
  </si>
  <si>
    <t>Purchase Date</t>
  </si>
  <si>
    <t># Items Purchased</t>
  </si>
  <si>
    <t>Purchase Total</t>
  </si>
  <si>
    <t>410 Lemon Dr</t>
  </si>
  <si>
    <t>Total</t>
  </si>
  <si>
    <t>&lt;5</t>
  </si>
  <si>
    <t>&gt;100</t>
  </si>
  <si>
    <t>&gt;5</t>
  </si>
  <si>
    <t>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</si>
</sst>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0"/>
      <name val="MS Sans Serif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2" applyFont="1"/>
    <xf numFmtId="0" fontId="3" fillId="0" borderId="0" xfId="2" applyFont="1"/>
    <xf numFmtId="14" fontId="3" fillId="0" borderId="0" xfId="2" applyNumberFormat="1" applyFont="1" applyAlignment="1">
      <alignment horizontal="right"/>
    </xf>
    <xf numFmtId="14" fontId="2" fillId="0" borderId="0" xfId="2" applyNumberFormat="1" applyFont="1" applyAlignment="1">
      <alignment horizontal="right"/>
    </xf>
    <xf numFmtId="164" fontId="2" fillId="0" borderId="0" xfId="2" applyNumberFormat="1" applyFont="1"/>
    <xf numFmtId="14" fontId="2" fillId="0" borderId="0" xfId="2" applyNumberFormat="1" applyFont="1"/>
    <xf numFmtId="14" fontId="4" fillId="0" borderId="1" xfId="2" applyNumberFormat="1" applyFont="1" applyBorder="1"/>
    <xf numFmtId="14" fontId="4" fillId="0" borderId="2" xfId="2" applyNumberFormat="1" applyFont="1" applyBorder="1"/>
    <xf numFmtId="0" fontId="6" fillId="2" borderId="3" xfId="2" applyNumberFormat="1" applyFont="1" applyFill="1" applyBorder="1" applyAlignment="1"/>
    <xf numFmtId="0" fontId="6" fillId="2" borderId="4" xfId="2" applyNumberFormat="1" applyFont="1" applyFill="1" applyBorder="1" applyAlignment="1"/>
    <xf numFmtId="14" fontId="6" fillId="2" borderId="4" xfId="2" applyNumberFormat="1" applyFont="1" applyFill="1" applyBorder="1" applyAlignment="1">
      <alignment horizontal="right"/>
    </xf>
    <xf numFmtId="0" fontId="6" fillId="2" borderId="5" xfId="2" applyNumberFormat="1" applyFont="1" applyFill="1" applyBorder="1" applyAlignment="1"/>
    <xf numFmtId="0" fontId="4" fillId="0" borderId="3" xfId="2" applyNumberFormat="1" applyFont="1" applyBorder="1" applyAlignment="1"/>
    <xf numFmtId="0" fontId="4" fillId="0" borderId="4" xfId="2" applyNumberFormat="1" applyFont="1" applyBorder="1" applyAlignment="1"/>
    <xf numFmtId="14" fontId="4" fillId="0" borderId="4" xfId="2" applyNumberFormat="1" applyFont="1" applyBorder="1" applyAlignment="1"/>
    <xf numFmtId="164" fontId="4" fillId="0" borderId="5" xfId="2" applyNumberFormat="1" applyFont="1" applyBorder="1" applyAlignment="1"/>
    <xf numFmtId="0" fontId="4" fillId="0" borderId="6" xfId="2" applyNumberFormat="1" applyFont="1" applyBorder="1" applyAlignment="1"/>
    <xf numFmtId="0" fontId="4" fillId="0" borderId="7" xfId="2" applyNumberFormat="1" applyFont="1" applyBorder="1" applyAlignment="1"/>
    <xf numFmtId="14" fontId="4" fillId="0" borderId="7" xfId="2" applyNumberFormat="1" applyFont="1" applyBorder="1" applyAlignment="1"/>
    <xf numFmtId="164" fontId="4" fillId="0" borderId="8" xfId="2" applyNumberFormat="1" applyFont="1" applyBorder="1" applyAlignment="1"/>
    <xf numFmtId="0" fontId="2" fillId="0" borderId="0" xfId="0" applyFont="1" applyAlignment="1">
      <alignment horizontal="right"/>
    </xf>
  </cellXfs>
  <cellStyles count="4">
    <cellStyle name="Normal" xfId="0" builtinId="0"/>
    <cellStyle name="Normal 2" xfId="1" xr:uid="{00000000-0005-0000-0000-000004000000}"/>
    <cellStyle name="Normal 2#A09wMfuOz098oS202Ao5l4JqmlBatWpVH7cFwMtwuHU=" xfId="3" xr:uid="{00000000-0005-0000-0000-000003000000}"/>
    <cellStyle name="Normal#i04lexc/VELTyYhR+eM3caWcQVdHS91y29+G2bzbCVY=" xfId="2" xr:uid="{00000000-0005-0000-0000-000002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327A0-6209-4970-BB48-07BF3FF8007C}" name="Table1" displayName="Table1" ref="A1:I66" totalsRowCount="1" headerRowDxfId="30" dataDxfId="29">
  <autoFilter ref="A1:I65" xr:uid="{02C327A0-6209-4970-BB48-07BF3FF8007C}">
    <filterColumn colId="3">
      <filters>
        <filter val="Rocklin"/>
      </filters>
    </filterColumn>
    <filterColumn colId="5">
      <filters>
        <filter val="95663"/>
      </filters>
    </filterColumn>
  </autoFilter>
  <sortState xmlns:xlrd2="http://schemas.microsoft.com/office/spreadsheetml/2017/richdata2" ref="A2:I65">
    <sortCondition ref="G2:G65"/>
  </sortState>
  <tableColumns count="9">
    <tableColumn id="1" xr3:uid="{DB16F74A-A706-4BB7-98C9-3D3D52D6E975}" name="First Name" totalsRowLabel="Total" dataDxfId="28" totalsRowDxfId="8"/>
    <tableColumn id="2" xr3:uid="{ACF59409-FBD4-4F58-ABAB-645E36348DD5}" name="Last Name" dataDxfId="27" totalsRowDxfId="7"/>
    <tableColumn id="3" xr3:uid="{4844DC3B-1E3B-49AC-B4B5-DF94C7A05694}" name="Street" dataDxfId="26" totalsRowDxfId="6"/>
    <tableColumn id="4" xr3:uid="{72545777-073A-4A3C-96E5-84C11544A192}" name="City" dataDxfId="25" totalsRowDxfId="5"/>
    <tableColumn id="5" xr3:uid="{65A6B28E-64C2-4CBB-A87F-402103297F75}" name="State" dataDxfId="24" totalsRowDxfId="4"/>
    <tableColumn id="6" xr3:uid="{09E7874F-2C62-4489-A913-60342C41E2C5}" name="Zip" dataDxfId="23" totalsRowDxfId="3"/>
    <tableColumn id="7" xr3:uid="{5F906FF7-497E-4CF3-B7A7-B96D17B43B3D}" name="Purchase Date" dataDxfId="22" totalsRowDxfId="2"/>
    <tableColumn id="8" xr3:uid="{11167CBC-3C79-47B5-858D-CA3B19C76F98}" name="# Items Purchased" totalsRowFunction="sum" dataDxfId="21" totalsRowDxfId="1"/>
    <tableColumn id="9" xr3:uid="{1E279BD0-9DEB-47E9-9854-C25B2FBC31E7}" name="Purchase Total" totalsRowFunction="sum" dataDxfId="20" totalsRowDxfId="0"/>
  </tableColumns>
  <tableStyleInfo name="TableStyleDark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C0959-301F-4281-9BB4-A6E6A9F7FC1C}" name="Table2" displayName="Table2" ref="A1:I65" totalsRowShown="0" headerRowDxfId="19" dataDxfId="18">
  <autoFilter ref="A1:I65" xr:uid="{CBAC0959-301F-4281-9BB4-A6E6A9F7FC1C}">
    <filterColumn colId="6">
      <customFilters and="1">
        <customFilter operator="greaterThan" val="44958"/>
        <customFilter operator="lessThanOrEqual" val="44985"/>
      </customFilters>
    </filterColumn>
  </autoFilter>
  <sortState xmlns:xlrd2="http://schemas.microsoft.com/office/spreadsheetml/2017/richdata2" ref="A2:I65">
    <sortCondition ref="F2:F65"/>
    <sortCondition ref="D2:D65"/>
    <sortCondition ref="I2:I65"/>
  </sortState>
  <tableColumns count="9">
    <tableColumn id="1" xr3:uid="{2DF806E7-B590-40D8-B829-D0EA60C46867}" name="First Name" dataDxfId="17"/>
    <tableColumn id="2" xr3:uid="{10520B65-E1A6-41C9-92B4-DAAE56FE4175}" name="Last Name" dataDxfId="16"/>
    <tableColumn id="3" xr3:uid="{DD7C259D-51CC-4880-BCC3-840B3D296A0A}" name="Street" dataDxfId="15"/>
    <tableColumn id="4" xr3:uid="{9D59B376-3B17-47AC-A879-5EBCCDF6B2DC}" name="City" dataDxfId="14"/>
    <tableColumn id="5" xr3:uid="{BDDE508C-DD9B-449D-9E81-1FB73E90EDDB}" name="State" dataDxfId="13"/>
    <tableColumn id="6" xr3:uid="{370BF9A3-6C6F-43B9-BA76-5EC3602ECEBD}" name="Zip" dataDxfId="12"/>
    <tableColumn id="7" xr3:uid="{904D5C94-84E1-40E7-A359-47BA3A6D4504}" name="Purchase Date" dataDxfId="11"/>
    <tableColumn id="8" xr3:uid="{AD69FB98-77C5-444B-B819-A7FB1E5B7AE1}" name="# Items Purchased" dataDxfId="10"/>
    <tableColumn id="9" xr3:uid="{93D74E01-4E8A-4648-9B8F-CEFDE9AECC06}" name="Purchase Total" dataDxfId="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FB9F-0405-4AF9-AAC3-AC251C2A0339}">
  <dimension ref="A1:I65"/>
  <sheetViews>
    <sheetView topLeftCell="A25" zoomScale="120" zoomScaleNormal="120" workbookViewId="0">
      <selection activeCell="G65" sqref="G65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9">
        <v>44933</v>
      </c>
      <c r="H2" s="3">
        <v>11</v>
      </c>
      <c r="I2" s="7">
        <v>19</v>
      </c>
    </row>
    <row r="3" spans="1:9" x14ac:dyDescent="0.2">
      <c r="A3" s="3" t="s">
        <v>42</v>
      </c>
      <c r="B3" s="3" t="s">
        <v>162</v>
      </c>
      <c r="C3" s="3" t="s">
        <v>124</v>
      </c>
      <c r="D3" s="3" t="s">
        <v>54</v>
      </c>
      <c r="E3" s="3" t="s">
        <v>9</v>
      </c>
      <c r="F3" s="3">
        <v>95650</v>
      </c>
      <c r="G3" s="9">
        <v>44939</v>
      </c>
      <c r="H3" s="3">
        <v>13</v>
      </c>
      <c r="I3" s="7">
        <v>74</v>
      </c>
    </row>
    <row r="4" spans="1:9" x14ac:dyDescent="0.2">
      <c r="A4" s="3" t="s">
        <v>158</v>
      </c>
      <c r="B4" s="3" t="s">
        <v>68</v>
      </c>
      <c r="C4" s="3" t="s">
        <v>108</v>
      </c>
      <c r="D4" s="3" t="s">
        <v>8</v>
      </c>
      <c r="E4" s="3" t="s">
        <v>9</v>
      </c>
      <c r="F4" s="3">
        <v>95663</v>
      </c>
      <c r="G4" s="9">
        <v>44943</v>
      </c>
      <c r="H4" s="3">
        <v>6</v>
      </c>
      <c r="I4" s="7">
        <v>142</v>
      </c>
    </row>
    <row r="5" spans="1:9" x14ac:dyDescent="0.2">
      <c r="A5" s="3" t="s">
        <v>137</v>
      </c>
      <c r="B5" s="3" t="s">
        <v>138</v>
      </c>
      <c r="C5" s="3" t="s">
        <v>136</v>
      </c>
      <c r="D5" s="3" t="s">
        <v>10</v>
      </c>
      <c r="E5" s="3" t="s">
        <v>9</v>
      </c>
      <c r="F5" s="3">
        <v>95678</v>
      </c>
      <c r="G5" s="9">
        <v>44943</v>
      </c>
      <c r="H5" s="3">
        <v>18</v>
      </c>
      <c r="I5" s="7">
        <v>196</v>
      </c>
    </row>
    <row r="6" spans="1:9" x14ac:dyDescent="0.2">
      <c r="A6" s="3" t="s">
        <v>62</v>
      </c>
      <c r="B6" s="3" t="s">
        <v>75</v>
      </c>
      <c r="C6" s="3" t="s">
        <v>76</v>
      </c>
      <c r="D6" s="3" t="s">
        <v>8</v>
      </c>
      <c r="E6" s="3" t="s">
        <v>9</v>
      </c>
      <c r="F6" s="3">
        <v>95765</v>
      </c>
      <c r="G6" s="9">
        <v>44944</v>
      </c>
      <c r="H6" s="3">
        <v>4</v>
      </c>
      <c r="I6" s="7">
        <v>179</v>
      </c>
    </row>
    <row r="7" spans="1:9" x14ac:dyDescent="0.2">
      <c r="A7" s="3" t="s">
        <v>53</v>
      </c>
      <c r="B7" s="3" t="s">
        <v>66</v>
      </c>
      <c r="C7" s="3" t="s">
        <v>67</v>
      </c>
      <c r="D7" s="3" t="s">
        <v>10</v>
      </c>
      <c r="E7" s="3" t="s">
        <v>9</v>
      </c>
      <c r="F7" s="3">
        <v>95678</v>
      </c>
      <c r="G7" s="9">
        <v>44945</v>
      </c>
      <c r="H7" s="3">
        <v>8</v>
      </c>
      <c r="I7" s="7">
        <v>99</v>
      </c>
    </row>
    <row r="8" spans="1:9" x14ac:dyDescent="0.2">
      <c r="A8" s="3" t="s">
        <v>34</v>
      </c>
      <c r="B8" s="3" t="s">
        <v>46</v>
      </c>
      <c r="C8" s="3" t="s">
        <v>120</v>
      </c>
      <c r="D8" s="3" t="s">
        <v>93</v>
      </c>
      <c r="E8" s="3" t="s">
        <v>9</v>
      </c>
      <c r="F8" s="3">
        <v>95713</v>
      </c>
      <c r="G8" s="9">
        <v>44946</v>
      </c>
      <c r="H8" s="3">
        <v>17</v>
      </c>
      <c r="I8" s="7">
        <v>197</v>
      </c>
    </row>
    <row r="9" spans="1:9" x14ac:dyDescent="0.2">
      <c r="A9" s="3" t="s">
        <v>161</v>
      </c>
      <c r="B9" s="3" t="s">
        <v>88</v>
      </c>
      <c r="C9" s="3" t="s">
        <v>89</v>
      </c>
      <c r="D9" s="3" t="s">
        <v>90</v>
      </c>
      <c r="E9" s="3" t="s">
        <v>9</v>
      </c>
      <c r="F9" s="3">
        <v>95765</v>
      </c>
      <c r="G9" s="9">
        <v>44959</v>
      </c>
      <c r="H9" s="3">
        <v>14</v>
      </c>
      <c r="I9" s="7">
        <v>87</v>
      </c>
    </row>
    <row r="10" spans="1:9" x14ac:dyDescent="0.2">
      <c r="A10" s="3" t="s">
        <v>148</v>
      </c>
      <c r="B10" s="3" t="s">
        <v>11</v>
      </c>
      <c r="C10" s="3" t="s">
        <v>81</v>
      </c>
      <c r="D10" s="3" t="s">
        <v>8</v>
      </c>
      <c r="E10" s="3" t="s">
        <v>9</v>
      </c>
      <c r="F10" s="3">
        <v>95663</v>
      </c>
      <c r="G10" s="9">
        <v>44962</v>
      </c>
      <c r="H10" s="3">
        <v>15</v>
      </c>
      <c r="I10" s="7">
        <v>111</v>
      </c>
    </row>
    <row r="11" spans="1:9" x14ac:dyDescent="0.2">
      <c r="A11" s="3" t="s">
        <v>78</v>
      </c>
      <c r="B11" s="3" t="s">
        <v>91</v>
      </c>
      <c r="C11" s="3" t="s">
        <v>92</v>
      </c>
      <c r="D11" s="3" t="s">
        <v>93</v>
      </c>
      <c r="E11" s="3" t="s">
        <v>9</v>
      </c>
      <c r="F11" s="3">
        <v>95713</v>
      </c>
      <c r="G11" s="9">
        <v>44962</v>
      </c>
      <c r="H11" s="3">
        <v>7</v>
      </c>
      <c r="I11" s="7">
        <v>106</v>
      </c>
    </row>
    <row r="12" spans="1:9" x14ac:dyDescent="0.2">
      <c r="A12" s="3" t="s">
        <v>45</v>
      </c>
      <c r="B12" s="3" t="s">
        <v>151</v>
      </c>
      <c r="C12" s="3" t="s">
        <v>152</v>
      </c>
      <c r="D12" s="3" t="s">
        <v>28</v>
      </c>
      <c r="E12" s="3" t="s">
        <v>9</v>
      </c>
      <c r="F12" s="3">
        <v>95603</v>
      </c>
      <c r="G12" s="9">
        <v>44965</v>
      </c>
      <c r="H12" s="3">
        <v>16</v>
      </c>
      <c r="I12" s="7">
        <v>73</v>
      </c>
    </row>
    <row r="13" spans="1:9" x14ac:dyDescent="0.2">
      <c r="A13" s="3" t="s">
        <v>36</v>
      </c>
      <c r="B13" s="3" t="s">
        <v>48</v>
      </c>
      <c r="C13" s="3" t="s">
        <v>121</v>
      </c>
      <c r="D13" s="3" t="s">
        <v>125</v>
      </c>
      <c r="E13" s="3" t="s">
        <v>9</v>
      </c>
      <c r="F13" s="3">
        <v>95991</v>
      </c>
      <c r="G13" s="9">
        <v>44968</v>
      </c>
      <c r="H13" s="3">
        <v>7</v>
      </c>
      <c r="I13" s="7">
        <v>115</v>
      </c>
    </row>
    <row r="14" spans="1:9" x14ac:dyDescent="0.2">
      <c r="A14" s="3" t="s">
        <v>154</v>
      </c>
      <c r="B14" s="3" t="s">
        <v>155</v>
      </c>
      <c r="C14" s="3" t="s">
        <v>156</v>
      </c>
      <c r="D14" s="3" t="s">
        <v>125</v>
      </c>
      <c r="E14" s="3" t="s">
        <v>9</v>
      </c>
      <c r="F14" s="3">
        <v>95992</v>
      </c>
      <c r="G14" s="9">
        <v>44977</v>
      </c>
      <c r="H14" s="3">
        <v>12</v>
      </c>
      <c r="I14" s="7">
        <v>176</v>
      </c>
    </row>
    <row r="15" spans="1:9" x14ac:dyDescent="0.2">
      <c r="A15" s="3" t="s">
        <v>16</v>
      </c>
      <c r="B15" s="3" t="s">
        <v>149</v>
      </c>
      <c r="C15" s="3" t="s">
        <v>112</v>
      </c>
      <c r="D15" s="3" t="s">
        <v>28</v>
      </c>
      <c r="E15" s="3" t="s">
        <v>9</v>
      </c>
      <c r="F15" s="3">
        <v>95604</v>
      </c>
      <c r="G15" s="9">
        <v>44990</v>
      </c>
      <c r="H15" s="3">
        <v>4</v>
      </c>
      <c r="I15" s="7">
        <v>86</v>
      </c>
    </row>
    <row r="16" spans="1:9" x14ac:dyDescent="0.2">
      <c r="A16" s="3" t="s">
        <v>43</v>
      </c>
      <c r="B16" s="3" t="s">
        <v>55</v>
      </c>
      <c r="C16" s="3" t="s">
        <v>101</v>
      </c>
      <c r="D16" s="3" t="s">
        <v>56</v>
      </c>
      <c r="E16" s="3" t="s">
        <v>9</v>
      </c>
      <c r="F16" s="3">
        <v>95658</v>
      </c>
      <c r="G16" s="9">
        <v>45000</v>
      </c>
      <c r="H16" s="3">
        <v>20</v>
      </c>
      <c r="I16" s="7">
        <v>56</v>
      </c>
    </row>
    <row r="17" spans="1:9" x14ac:dyDescent="0.2">
      <c r="A17" s="3" t="s">
        <v>15</v>
      </c>
      <c r="B17" s="3" t="s">
        <v>24</v>
      </c>
      <c r="C17" s="3" t="s">
        <v>25</v>
      </c>
      <c r="D17" s="3" t="s">
        <v>10</v>
      </c>
      <c r="E17" s="3" t="s">
        <v>9</v>
      </c>
      <c r="F17" s="3">
        <v>95677</v>
      </c>
      <c r="G17" s="9">
        <v>45010</v>
      </c>
      <c r="H17" s="3">
        <v>5</v>
      </c>
      <c r="I17" s="7">
        <v>59</v>
      </c>
    </row>
    <row r="18" spans="1:9" x14ac:dyDescent="0.2">
      <c r="A18" s="3" t="s">
        <v>159</v>
      </c>
      <c r="B18" s="3" t="s">
        <v>94</v>
      </c>
      <c r="C18" s="3" t="s">
        <v>95</v>
      </c>
      <c r="D18" s="3" t="s">
        <v>28</v>
      </c>
      <c r="E18" s="3" t="s">
        <v>9</v>
      </c>
      <c r="F18" s="3">
        <v>95603</v>
      </c>
      <c r="G18" s="9">
        <v>45022</v>
      </c>
      <c r="H18" s="3">
        <v>11</v>
      </c>
      <c r="I18" s="7">
        <v>49</v>
      </c>
    </row>
    <row r="19" spans="1:9" x14ac:dyDescent="0.2">
      <c r="A19" s="3" t="s">
        <v>57</v>
      </c>
      <c r="B19" s="3" t="s">
        <v>70</v>
      </c>
      <c r="C19" s="3" t="s">
        <v>71</v>
      </c>
      <c r="D19" s="3" t="s">
        <v>10</v>
      </c>
      <c r="E19" s="3" t="s">
        <v>9</v>
      </c>
      <c r="F19" s="3">
        <v>95677</v>
      </c>
      <c r="G19" s="9">
        <v>45030</v>
      </c>
      <c r="H19" s="3">
        <v>10</v>
      </c>
      <c r="I19" s="7">
        <v>174</v>
      </c>
    </row>
    <row r="20" spans="1:9" x14ac:dyDescent="0.2">
      <c r="A20" s="3" t="s">
        <v>150</v>
      </c>
      <c r="B20" s="3" t="s">
        <v>11</v>
      </c>
      <c r="C20" s="3" t="s">
        <v>81</v>
      </c>
      <c r="D20" s="3" t="s">
        <v>8</v>
      </c>
      <c r="E20" s="3" t="s">
        <v>9</v>
      </c>
      <c r="F20" s="3">
        <v>95663</v>
      </c>
      <c r="G20" s="9">
        <v>45032</v>
      </c>
      <c r="H20" s="3">
        <v>19</v>
      </c>
      <c r="I20" s="7">
        <v>26</v>
      </c>
    </row>
    <row r="21" spans="1:9" x14ac:dyDescent="0.2">
      <c r="A21" s="3" t="s">
        <v>12</v>
      </c>
      <c r="B21" s="3" t="s">
        <v>69</v>
      </c>
      <c r="C21" s="3" t="s">
        <v>104</v>
      </c>
      <c r="D21" s="3" t="s">
        <v>8</v>
      </c>
      <c r="E21" s="3" t="s">
        <v>9</v>
      </c>
      <c r="F21" s="3">
        <v>95677</v>
      </c>
      <c r="G21" s="9">
        <v>45032</v>
      </c>
      <c r="H21" s="3">
        <v>11</v>
      </c>
      <c r="I21" s="7">
        <v>175</v>
      </c>
    </row>
    <row r="22" spans="1:9" x14ac:dyDescent="0.2">
      <c r="A22" s="3" t="s">
        <v>83</v>
      </c>
      <c r="B22" s="3" t="s">
        <v>97</v>
      </c>
      <c r="C22" s="3" t="s">
        <v>98</v>
      </c>
      <c r="D22" s="3" t="s">
        <v>99</v>
      </c>
      <c r="E22" s="3" t="s">
        <v>9</v>
      </c>
      <c r="F22" s="3">
        <v>95701</v>
      </c>
      <c r="G22" s="9">
        <v>45035</v>
      </c>
      <c r="H22" s="3">
        <v>3</v>
      </c>
      <c r="I22" s="7">
        <v>209</v>
      </c>
    </row>
    <row r="23" spans="1:9" x14ac:dyDescent="0.2">
      <c r="A23" s="3" t="s">
        <v>19</v>
      </c>
      <c r="B23" s="3" t="s">
        <v>33</v>
      </c>
      <c r="C23" s="3" t="s">
        <v>114</v>
      </c>
      <c r="D23" s="3" t="s">
        <v>90</v>
      </c>
      <c r="E23" s="3" t="s">
        <v>9</v>
      </c>
      <c r="F23" s="3">
        <v>95648</v>
      </c>
      <c r="G23" s="9">
        <v>45043</v>
      </c>
      <c r="H23" s="3">
        <v>6</v>
      </c>
      <c r="I23" s="7">
        <v>31</v>
      </c>
    </row>
    <row r="24" spans="1:9" x14ac:dyDescent="0.2">
      <c r="A24" s="3" t="s">
        <v>57</v>
      </c>
      <c r="B24" s="3" t="s">
        <v>70</v>
      </c>
      <c r="C24" s="3" t="s">
        <v>71</v>
      </c>
      <c r="D24" s="3" t="s">
        <v>10</v>
      </c>
      <c r="E24" s="3" t="s">
        <v>9</v>
      </c>
      <c r="F24" s="3">
        <v>95677</v>
      </c>
      <c r="G24" s="9">
        <v>45044</v>
      </c>
      <c r="H24" s="3">
        <v>16</v>
      </c>
      <c r="I24" s="7">
        <v>74</v>
      </c>
    </row>
    <row r="25" spans="1:9" x14ac:dyDescent="0.2">
      <c r="A25" s="3" t="s">
        <v>82</v>
      </c>
      <c r="B25" s="3" t="s">
        <v>96</v>
      </c>
      <c r="C25" s="3" t="s">
        <v>133</v>
      </c>
      <c r="D25" s="3" t="s">
        <v>99</v>
      </c>
      <c r="E25" s="3" t="s">
        <v>9</v>
      </c>
      <c r="F25" s="3">
        <v>95701</v>
      </c>
      <c r="G25" s="9">
        <v>45051</v>
      </c>
      <c r="H25" s="3">
        <v>5</v>
      </c>
      <c r="I25" s="7">
        <v>46</v>
      </c>
    </row>
    <row r="26" spans="1:9" x14ac:dyDescent="0.2">
      <c r="A26" s="3" t="s">
        <v>80</v>
      </c>
      <c r="B26" s="3" t="s">
        <v>94</v>
      </c>
      <c r="C26" s="3" t="s">
        <v>95</v>
      </c>
      <c r="D26" s="3" t="s">
        <v>28</v>
      </c>
      <c r="E26" s="3" t="s">
        <v>9</v>
      </c>
      <c r="F26" s="3">
        <v>95603</v>
      </c>
      <c r="G26" s="9">
        <v>45057</v>
      </c>
      <c r="H26" s="3">
        <v>7</v>
      </c>
      <c r="I26" s="7">
        <v>112</v>
      </c>
    </row>
    <row r="27" spans="1:9" x14ac:dyDescent="0.2">
      <c r="A27" s="3" t="s">
        <v>78</v>
      </c>
      <c r="B27" s="3" t="s">
        <v>91</v>
      </c>
      <c r="C27" s="3" t="s">
        <v>92</v>
      </c>
      <c r="D27" s="3" t="s">
        <v>93</v>
      </c>
      <c r="E27" s="3" t="s">
        <v>9</v>
      </c>
      <c r="F27" s="3">
        <v>95713</v>
      </c>
      <c r="G27" s="9">
        <v>45058</v>
      </c>
      <c r="H27" s="3">
        <v>16</v>
      </c>
      <c r="I27" s="7">
        <v>185</v>
      </c>
    </row>
    <row r="28" spans="1:9" x14ac:dyDescent="0.2">
      <c r="A28" s="3" t="s">
        <v>13</v>
      </c>
      <c r="B28" s="3" t="s">
        <v>20</v>
      </c>
      <c r="C28" s="3" t="s">
        <v>110</v>
      </c>
      <c r="D28" s="3" t="s">
        <v>8</v>
      </c>
      <c r="E28" s="3" t="s">
        <v>9</v>
      </c>
      <c r="F28" s="3">
        <v>95650</v>
      </c>
      <c r="G28" s="9">
        <v>45068</v>
      </c>
      <c r="H28" s="3">
        <v>19</v>
      </c>
      <c r="I28" s="7">
        <v>139</v>
      </c>
    </row>
    <row r="29" spans="1:9" x14ac:dyDescent="0.2">
      <c r="A29" s="3" t="s">
        <v>58</v>
      </c>
      <c r="B29" s="3" t="s">
        <v>139</v>
      </c>
      <c r="C29" s="3" t="s">
        <v>105</v>
      </c>
      <c r="D29" s="3" t="s">
        <v>8</v>
      </c>
      <c r="E29" s="3" t="s">
        <v>9</v>
      </c>
      <c r="F29" s="3">
        <v>95677</v>
      </c>
      <c r="G29" s="9">
        <v>45068</v>
      </c>
      <c r="H29" s="3">
        <v>11</v>
      </c>
      <c r="I29" s="7">
        <v>206</v>
      </c>
    </row>
    <row r="30" spans="1:9" x14ac:dyDescent="0.2">
      <c r="A30" s="3" t="s">
        <v>131</v>
      </c>
      <c r="B30" s="3" t="s">
        <v>132</v>
      </c>
      <c r="C30" s="3" t="s">
        <v>134</v>
      </c>
      <c r="D30" s="3" t="s">
        <v>99</v>
      </c>
      <c r="E30" s="3" t="s">
        <v>9</v>
      </c>
      <c r="F30" s="3">
        <v>95701</v>
      </c>
      <c r="G30" s="9">
        <v>45069</v>
      </c>
      <c r="H30" s="3">
        <v>16</v>
      </c>
      <c r="I30" s="7">
        <v>208</v>
      </c>
    </row>
    <row r="31" spans="1:9" x14ac:dyDescent="0.2">
      <c r="A31" s="3" t="s">
        <v>87</v>
      </c>
      <c r="B31" s="3" t="s">
        <v>6</v>
      </c>
      <c r="C31" s="3" t="s">
        <v>7</v>
      </c>
      <c r="D31" s="3" t="s">
        <v>8</v>
      </c>
      <c r="E31" s="3" t="s">
        <v>9</v>
      </c>
      <c r="F31" s="3">
        <v>95663</v>
      </c>
      <c r="G31" s="9">
        <v>45072</v>
      </c>
      <c r="H31" s="3">
        <v>9</v>
      </c>
      <c r="I31" s="7">
        <v>163</v>
      </c>
    </row>
    <row r="32" spans="1:9" x14ac:dyDescent="0.2">
      <c r="A32" s="3" t="s">
        <v>26</v>
      </c>
      <c r="B32" s="3" t="s">
        <v>39</v>
      </c>
      <c r="C32" s="3" t="s">
        <v>116</v>
      </c>
      <c r="D32" s="3" t="s">
        <v>90</v>
      </c>
      <c r="E32" s="3" t="s">
        <v>9</v>
      </c>
      <c r="F32" s="3">
        <v>95765</v>
      </c>
      <c r="G32" s="9">
        <v>45072</v>
      </c>
      <c r="H32" s="3">
        <v>17</v>
      </c>
      <c r="I32" s="7">
        <v>25</v>
      </c>
    </row>
    <row r="33" spans="1:9" x14ac:dyDescent="0.2">
      <c r="A33" s="3" t="s">
        <v>135</v>
      </c>
      <c r="B33" s="3" t="s">
        <v>69</v>
      </c>
      <c r="C33" s="3" t="s">
        <v>104</v>
      </c>
      <c r="D33" s="3" t="s">
        <v>8</v>
      </c>
      <c r="E33" s="3" t="s">
        <v>9</v>
      </c>
      <c r="F33" s="3">
        <v>95677</v>
      </c>
      <c r="G33" s="9">
        <v>45082</v>
      </c>
      <c r="H33" s="3">
        <v>11</v>
      </c>
      <c r="I33" s="7">
        <v>38</v>
      </c>
    </row>
    <row r="34" spans="1:9" x14ac:dyDescent="0.2">
      <c r="A34" s="3" t="s">
        <v>47</v>
      </c>
      <c r="B34" s="3" t="s">
        <v>59</v>
      </c>
      <c r="C34" s="3" t="s">
        <v>146</v>
      </c>
      <c r="D34" s="3" t="s">
        <v>28</v>
      </c>
      <c r="E34" s="3" t="s">
        <v>9</v>
      </c>
      <c r="F34" s="3">
        <v>95604</v>
      </c>
      <c r="G34" s="9">
        <v>45091</v>
      </c>
      <c r="H34" s="3">
        <v>14</v>
      </c>
      <c r="I34" s="7">
        <v>48</v>
      </c>
    </row>
    <row r="35" spans="1:9" x14ac:dyDescent="0.2">
      <c r="A35" s="3" t="s">
        <v>62</v>
      </c>
      <c r="B35" s="3" t="s">
        <v>75</v>
      </c>
      <c r="C35" s="3" t="s">
        <v>76</v>
      </c>
      <c r="D35" s="3" t="s">
        <v>8</v>
      </c>
      <c r="E35" s="3" t="s">
        <v>9</v>
      </c>
      <c r="F35" s="3">
        <v>95765</v>
      </c>
      <c r="G35" s="9">
        <v>45095</v>
      </c>
      <c r="H35" s="3">
        <v>19</v>
      </c>
      <c r="I35" s="7">
        <v>137</v>
      </c>
    </row>
    <row r="36" spans="1:9" x14ac:dyDescent="0.2">
      <c r="A36" s="3" t="s">
        <v>32</v>
      </c>
      <c r="B36" s="3" t="s">
        <v>44</v>
      </c>
      <c r="C36" s="3" t="s">
        <v>119</v>
      </c>
      <c r="D36" s="3" t="s">
        <v>90</v>
      </c>
      <c r="E36" s="3" t="s">
        <v>9</v>
      </c>
      <c r="F36" s="3">
        <v>95648</v>
      </c>
      <c r="G36" s="9">
        <v>45103</v>
      </c>
      <c r="H36" s="3">
        <v>6</v>
      </c>
      <c r="I36" s="7">
        <v>171</v>
      </c>
    </row>
    <row r="37" spans="1:9" x14ac:dyDescent="0.2">
      <c r="A37" s="3" t="s">
        <v>68</v>
      </c>
      <c r="B37" s="3" t="s">
        <v>79</v>
      </c>
      <c r="C37" s="3" t="s">
        <v>107</v>
      </c>
      <c r="D37" s="3" t="s">
        <v>8</v>
      </c>
      <c r="E37" s="3" t="s">
        <v>9</v>
      </c>
      <c r="F37" s="3">
        <v>95663</v>
      </c>
      <c r="G37" s="9">
        <v>45116</v>
      </c>
      <c r="H37" s="3">
        <v>6</v>
      </c>
      <c r="I37" s="7">
        <v>144</v>
      </c>
    </row>
    <row r="38" spans="1:9" x14ac:dyDescent="0.2">
      <c r="A38" s="3" t="s">
        <v>17</v>
      </c>
      <c r="B38" s="3" t="s">
        <v>27</v>
      </c>
      <c r="C38" s="3" t="s">
        <v>112</v>
      </c>
      <c r="D38" s="3" t="s">
        <v>28</v>
      </c>
      <c r="E38" s="3" t="s">
        <v>9</v>
      </c>
      <c r="F38" s="3">
        <v>95604</v>
      </c>
      <c r="G38" s="9">
        <v>45118</v>
      </c>
      <c r="H38" s="3">
        <v>8</v>
      </c>
      <c r="I38" s="7">
        <v>176</v>
      </c>
    </row>
    <row r="39" spans="1:9" x14ac:dyDescent="0.2">
      <c r="A39" s="3" t="s">
        <v>157</v>
      </c>
      <c r="B39" s="3" t="s">
        <v>68</v>
      </c>
      <c r="C39" s="3" t="s">
        <v>108</v>
      </c>
      <c r="D39" s="3" t="s">
        <v>8</v>
      </c>
      <c r="E39" s="3" t="s">
        <v>9</v>
      </c>
      <c r="F39" s="3">
        <v>95663</v>
      </c>
      <c r="G39" s="9">
        <v>45132</v>
      </c>
      <c r="H39" s="3">
        <v>20</v>
      </c>
      <c r="I39" s="7">
        <v>166</v>
      </c>
    </row>
    <row r="40" spans="1:9" x14ac:dyDescent="0.2">
      <c r="A40" s="3" t="s">
        <v>160</v>
      </c>
      <c r="B40" s="3" t="s">
        <v>88</v>
      </c>
      <c r="C40" s="3" t="s">
        <v>89</v>
      </c>
      <c r="D40" s="3" t="s">
        <v>90</v>
      </c>
      <c r="E40" s="3" t="s">
        <v>9</v>
      </c>
      <c r="F40" s="3">
        <v>95765</v>
      </c>
      <c r="G40" s="9">
        <v>45139</v>
      </c>
      <c r="H40" s="3">
        <v>11</v>
      </c>
      <c r="I40" s="7">
        <v>199</v>
      </c>
    </row>
    <row r="41" spans="1:9" x14ac:dyDescent="0.2">
      <c r="A41" s="3" t="s">
        <v>83</v>
      </c>
      <c r="B41" s="3" t="s">
        <v>97</v>
      </c>
      <c r="C41" s="3" t="s">
        <v>98</v>
      </c>
      <c r="D41" s="3" t="s">
        <v>99</v>
      </c>
      <c r="E41" s="3" t="s">
        <v>9</v>
      </c>
      <c r="F41" s="3">
        <v>95701</v>
      </c>
      <c r="G41" s="9">
        <v>45146</v>
      </c>
      <c r="H41" s="3">
        <v>4</v>
      </c>
      <c r="I41" s="7">
        <v>214</v>
      </c>
    </row>
    <row r="42" spans="1:9" x14ac:dyDescent="0.2">
      <c r="A42" s="3" t="s">
        <v>130</v>
      </c>
      <c r="B42" s="3" t="s">
        <v>77</v>
      </c>
      <c r="C42" s="3" t="s">
        <v>106</v>
      </c>
      <c r="D42" s="3" t="s">
        <v>8</v>
      </c>
      <c r="E42" s="3" t="s">
        <v>9</v>
      </c>
      <c r="F42" s="3">
        <v>95650</v>
      </c>
      <c r="G42" s="9">
        <v>45148</v>
      </c>
      <c r="H42" s="3">
        <v>6</v>
      </c>
      <c r="I42" s="7">
        <v>208</v>
      </c>
    </row>
    <row r="43" spans="1:9" x14ac:dyDescent="0.2">
      <c r="A43" s="3" t="s">
        <v>38</v>
      </c>
      <c r="B43" s="3" t="s">
        <v>50</v>
      </c>
      <c r="C43" s="3" t="s">
        <v>122</v>
      </c>
      <c r="D43" s="3" t="s">
        <v>56</v>
      </c>
      <c r="E43" s="3" t="s">
        <v>9</v>
      </c>
      <c r="F43" s="3">
        <v>95658</v>
      </c>
      <c r="G43" s="9">
        <v>45148</v>
      </c>
      <c r="H43" s="3">
        <v>1</v>
      </c>
      <c r="I43" s="7">
        <v>198</v>
      </c>
    </row>
    <row r="44" spans="1:9" x14ac:dyDescent="0.2">
      <c r="A44" s="3" t="s">
        <v>49</v>
      </c>
      <c r="B44" s="3" t="s">
        <v>61</v>
      </c>
      <c r="C44" s="3" t="s">
        <v>102</v>
      </c>
      <c r="D44" s="3" t="s">
        <v>125</v>
      </c>
      <c r="E44" s="3" t="s">
        <v>9</v>
      </c>
      <c r="F44" s="3">
        <v>95992</v>
      </c>
      <c r="G44" s="9">
        <v>45192</v>
      </c>
      <c r="H44" s="3">
        <v>14</v>
      </c>
      <c r="I44" s="7">
        <v>183</v>
      </c>
    </row>
    <row r="45" spans="1:9" x14ac:dyDescent="0.2">
      <c r="A45" s="3" t="s">
        <v>65</v>
      </c>
      <c r="B45" s="3" t="s">
        <v>77</v>
      </c>
      <c r="C45" s="3" t="s">
        <v>106</v>
      </c>
      <c r="D45" s="3" t="s">
        <v>8</v>
      </c>
      <c r="E45" s="3" t="s">
        <v>9</v>
      </c>
      <c r="F45" s="3">
        <v>95650</v>
      </c>
      <c r="G45" s="9">
        <v>45193</v>
      </c>
      <c r="H45" s="3">
        <v>7</v>
      </c>
      <c r="I45" s="7">
        <v>42</v>
      </c>
    </row>
    <row r="46" spans="1:9" x14ac:dyDescent="0.2">
      <c r="A46" s="3" t="s">
        <v>128</v>
      </c>
      <c r="B46" s="3" t="s">
        <v>129</v>
      </c>
      <c r="C46" s="3" t="s">
        <v>109</v>
      </c>
      <c r="D46" s="3" t="s">
        <v>10</v>
      </c>
      <c r="E46" s="3" t="s">
        <v>9</v>
      </c>
      <c r="F46" s="3">
        <v>95765</v>
      </c>
      <c r="G46" s="9">
        <v>45208</v>
      </c>
      <c r="H46" s="3">
        <v>7</v>
      </c>
      <c r="I46" s="7">
        <v>115</v>
      </c>
    </row>
    <row r="47" spans="1:9" x14ac:dyDescent="0.2">
      <c r="A47" s="3" t="s">
        <v>142</v>
      </c>
      <c r="B47" s="3" t="s">
        <v>141</v>
      </c>
      <c r="C47" s="3" t="s">
        <v>105</v>
      </c>
      <c r="D47" s="3" t="s">
        <v>8</v>
      </c>
      <c r="E47" s="3" t="s">
        <v>9</v>
      </c>
      <c r="F47" s="3">
        <v>95677</v>
      </c>
      <c r="G47" s="9">
        <v>45213</v>
      </c>
      <c r="H47" s="3">
        <v>7</v>
      </c>
      <c r="I47" s="7">
        <v>64</v>
      </c>
    </row>
    <row r="48" spans="1:9" x14ac:dyDescent="0.2">
      <c r="A48" s="3" t="s">
        <v>14</v>
      </c>
      <c r="B48" s="3" t="s">
        <v>22</v>
      </c>
      <c r="C48" s="3" t="s">
        <v>111</v>
      </c>
      <c r="D48" s="3" t="s">
        <v>10</v>
      </c>
      <c r="E48" s="3" t="s">
        <v>9</v>
      </c>
      <c r="F48" s="3">
        <v>95661</v>
      </c>
      <c r="G48" s="9">
        <v>45216</v>
      </c>
      <c r="H48" s="3">
        <v>12</v>
      </c>
      <c r="I48" s="7">
        <v>89</v>
      </c>
    </row>
    <row r="49" spans="1:9" x14ac:dyDescent="0.2">
      <c r="A49" s="3" t="s">
        <v>84</v>
      </c>
      <c r="B49" s="3" t="s">
        <v>100</v>
      </c>
      <c r="C49" s="3" t="s">
        <v>153</v>
      </c>
      <c r="D49" s="3" t="s">
        <v>28</v>
      </c>
      <c r="E49" s="3" t="s">
        <v>9</v>
      </c>
      <c r="F49" s="3">
        <v>95603</v>
      </c>
      <c r="G49" s="9">
        <v>45222</v>
      </c>
      <c r="H49" s="3">
        <v>17</v>
      </c>
      <c r="I49" s="7">
        <v>193</v>
      </c>
    </row>
    <row r="50" spans="1:9" x14ac:dyDescent="0.2">
      <c r="A50" s="3" t="s">
        <v>51</v>
      </c>
      <c r="B50" s="3" t="s">
        <v>63</v>
      </c>
      <c r="C50" s="3" t="s">
        <v>64</v>
      </c>
      <c r="D50" s="3" t="s">
        <v>125</v>
      </c>
      <c r="E50" s="3" t="s">
        <v>9</v>
      </c>
      <c r="F50" s="3">
        <v>95991</v>
      </c>
      <c r="G50" s="9">
        <v>45223</v>
      </c>
      <c r="H50" s="3">
        <v>18</v>
      </c>
      <c r="I50" s="7">
        <v>15</v>
      </c>
    </row>
    <row r="51" spans="1:9" x14ac:dyDescent="0.2">
      <c r="A51" s="3" t="s">
        <v>144</v>
      </c>
      <c r="B51" s="3" t="s">
        <v>145</v>
      </c>
      <c r="C51" s="3" t="s">
        <v>143</v>
      </c>
      <c r="D51" s="3" t="s">
        <v>8</v>
      </c>
      <c r="E51" s="3" t="s">
        <v>9</v>
      </c>
      <c r="F51" s="3">
        <v>95663</v>
      </c>
      <c r="G51" s="9">
        <v>45226</v>
      </c>
      <c r="H51" s="3">
        <v>8</v>
      </c>
      <c r="I51" s="7">
        <v>160</v>
      </c>
    </row>
    <row r="52" spans="1:9" x14ac:dyDescent="0.2">
      <c r="A52" s="3" t="s">
        <v>147</v>
      </c>
      <c r="B52" s="3" t="s">
        <v>59</v>
      </c>
      <c r="C52" s="3" t="s">
        <v>146</v>
      </c>
      <c r="D52" s="3" t="s">
        <v>28</v>
      </c>
      <c r="E52" s="3" t="s">
        <v>9</v>
      </c>
      <c r="F52" s="3">
        <v>95604</v>
      </c>
      <c r="G52" s="9">
        <v>45227</v>
      </c>
      <c r="H52" s="3">
        <v>16</v>
      </c>
      <c r="I52" s="7">
        <v>139</v>
      </c>
    </row>
    <row r="53" spans="1:9" x14ac:dyDescent="0.2">
      <c r="A53" s="3" t="s">
        <v>126</v>
      </c>
      <c r="B53" s="3" t="s">
        <v>127</v>
      </c>
      <c r="C53" s="3" t="s">
        <v>103</v>
      </c>
      <c r="D53" s="3" t="s">
        <v>125</v>
      </c>
      <c r="E53" s="3" t="s">
        <v>9</v>
      </c>
      <c r="F53" s="3">
        <v>95991</v>
      </c>
      <c r="G53" s="9">
        <v>45232</v>
      </c>
      <c r="H53" s="3">
        <v>14</v>
      </c>
      <c r="I53" s="7">
        <v>16</v>
      </c>
    </row>
    <row r="54" spans="1:9" x14ac:dyDescent="0.2">
      <c r="A54" s="3" t="s">
        <v>60</v>
      </c>
      <c r="B54" s="3" t="s">
        <v>72</v>
      </c>
      <c r="C54" s="3" t="s">
        <v>73</v>
      </c>
      <c r="D54" s="3" t="s">
        <v>8</v>
      </c>
      <c r="E54" s="3" t="s">
        <v>9</v>
      </c>
      <c r="F54" s="3">
        <v>95650</v>
      </c>
      <c r="G54" s="9">
        <v>45238</v>
      </c>
      <c r="H54" s="3">
        <v>20</v>
      </c>
      <c r="I54" s="7">
        <v>74</v>
      </c>
    </row>
    <row r="55" spans="1:9" x14ac:dyDescent="0.2">
      <c r="A55" s="3" t="s">
        <v>74</v>
      </c>
      <c r="B55" s="3" t="s">
        <v>85</v>
      </c>
      <c r="C55" s="3" t="s">
        <v>86</v>
      </c>
      <c r="D55" s="3" t="s">
        <v>10</v>
      </c>
      <c r="E55" s="3" t="s">
        <v>9</v>
      </c>
      <c r="F55" s="3">
        <v>95765</v>
      </c>
      <c r="G55" s="9">
        <v>45251</v>
      </c>
      <c r="H55" s="3">
        <v>19</v>
      </c>
      <c r="I55" s="7">
        <v>104</v>
      </c>
    </row>
    <row r="56" spans="1:9" x14ac:dyDescent="0.2">
      <c r="A56" s="3" t="s">
        <v>29</v>
      </c>
      <c r="B56" s="3" t="s">
        <v>41</v>
      </c>
      <c r="C56" s="3" t="s">
        <v>117</v>
      </c>
      <c r="D56" s="3" t="s">
        <v>125</v>
      </c>
      <c r="E56" s="3" t="s">
        <v>9</v>
      </c>
      <c r="F56" s="3">
        <v>95991</v>
      </c>
      <c r="G56" s="9">
        <v>45255</v>
      </c>
      <c r="H56" s="3">
        <v>4</v>
      </c>
      <c r="I56" s="7">
        <v>200</v>
      </c>
    </row>
    <row r="57" spans="1:9" x14ac:dyDescent="0.2">
      <c r="A57" s="3" t="s">
        <v>40</v>
      </c>
      <c r="B57" s="3" t="s">
        <v>52</v>
      </c>
      <c r="C57" s="3" t="s">
        <v>123</v>
      </c>
      <c r="D57" s="3" t="s">
        <v>8</v>
      </c>
      <c r="E57" s="3" t="s">
        <v>9</v>
      </c>
      <c r="F57" s="3">
        <v>95663</v>
      </c>
      <c r="G57" s="9">
        <v>45258</v>
      </c>
      <c r="H57" s="3">
        <v>13</v>
      </c>
      <c r="I57" s="7">
        <v>42</v>
      </c>
    </row>
    <row r="58" spans="1:9" x14ac:dyDescent="0.2">
      <c r="A58" s="3" t="s">
        <v>30</v>
      </c>
      <c r="B58" s="3" t="s">
        <v>11</v>
      </c>
      <c r="C58" s="3" t="s">
        <v>118</v>
      </c>
      <c r="D58" s="3" t="s">
        <v>8</v>
      </c>
      <c r="E58" s="3" t="s">
        <v>9</v>
      </c>
      <c r="F58" s="3">
        <v>95677</v>
      </c>
      <c r="G58" s="9">
        <v>45265</v>
      </c>
      <c r="H58" s="3">
        <v>19</v>
      </c>
      <c r="I58" s="7">
        <v>11</v>
      </c>
    </row>
    <row r="59" spans="1:9" x14ac:dyDescent="0.2">
      <c r="A59" s="3" t="s">
        <v>45</v>
      </c>
      <c r="B59" s="3" t="s">
        <v>151</v>
      </c>
      <c r="C59" s="3" t="s">
        <v>152</v>
      </c>
      <c r="D59" s="3" t="s">
        <v>28</v>
      </c>
      <c r="E59" s="3" t="s">
        <v>9</v>
      </c>
      <c r="F59" s="3">
        <v>95603</v>
      </c>
      <c r="G59" s="9">
        <v>45266</v>
      </c>
      <c r="H59" s="3">
        <v>2</v>
      </c>
      <c r="I59" s="7">
        <v>96</v>
      </c>
    </row>
    <row r="60" spans="1:9" x14ac:dyDescent="0.2">
      <c r="A60" s="3" t="s">
        <v>60</v>
      </c>
      <c r="B60" s="3" t="s">
        <v>72</v>
      </c>
      <c r="C60" s="3" t="s">
        <v>73</v>
      </c>
      <c r="D60" s="3" t="s">
        <v>8</v>
      </c>
      <c r="E60" s="3" t="s">
        <v>9</v>
      </c>
      <c r="F60" s="3">
        <v>95650</v>
      </c>
      <c r="G60" s="9">
        <v>45267</v>
      </c>
      <c r="H60" s="3">
        <v>14</v>
      </c>
      <c r="I60" s="7">
        <v>84</v>
      </c>
    </row>
    <row r="61" spans="1:9" x14ac:dyDescent="0.2">
      <c r="A61" s="3" t="s">
        <v>21</v>
      </c>
      <c r="B61" s="3" t="s">
        <v>35</v>
      </c>
      <c r="C61" s="3" t="s">
        <v>166</v>
      </c>
      <c r="D61" s="3" t="s">
        <v>125</v>
      </c>
      <c r="E61" s="3" t="s">
        <v>9</v>
      </c>
      <c r="F61" s="3">
        <v>95992</v>
      </c>
      <c r="G61" s="9">
        <v>45268</v>
      </c>
      <c r="H61" s="3">
        <v>12</v>
      </c>
      <c r="I61" s="7">
        <v>65</v>
      </c>
    </row>
    <row r="62" spans="1:9" x14ac:dyDescent="0.2">
      <c r="A62" s="3" t="s">
        <v>18</v>
      </c>
      <c r="B62" s="3" t="s">
        <v>31</v>
      </c>
      <c r="C62" s="3" t="s">
        <v>113</v>
      </c>
      <c r="D62" s="3" t="s">
        <v>99</v>
      </c>
      <c r="E62" s="3" t="s">
        <v>9</v>
      </c>
      <c r="F62" s="3">
        <v>95701</v>
      </c>
      <c r="G62" s="9">
        <v>45281</v>
      </c>
      <c r="H62" s="3">
        <v>7</v>
      </c>
      <c r="I62" s="7">
        <v>147</v>
      </c>
    </row>
    <row r="63" spans="1:9" x14ac:dyDescent="0.2">
      <c r="A63" s="3" t="s">
        <v>23</v>
      </c>
      <c r="B63" s="3" t="s">
        <v>37</v>
      </c>
      <c r="C63" s="3" t="s">
        <v>115</v>
      </c>
      <c r="D63" s="3" t="s">
        <v>90</v>
      </c>
      <c r="E63" s="3" t="s">
        <v>9</v>
      </c>
      <c r="F63" s="3">
        <v>95648</v>
      </c>
      <c r="G63" s="9">
        <v>45281</v>
      </c>
      <c r="H63" s="3">
        <v>5</v>
      </c>
      <c r="I63" s="7">
        <v>17</v>
      </c>
    </row>
    <row r="64" spans="1:9" x14ac:dyDescent="0.2">
      <c r="A64" s="3" t="s">
        <v>140</v>
      </c>
      <c r="B64" s="3" t="s">
        <v>11</v>
      </c>
      <c r="C64" s="3" t="s">
        <v>81</v>
      </c>
      <c r="D64" s="3" t="s">
        <v>8</v>
      </c>
      <c r="E64" s="3" t="s">
        <v>9</v>
      </c>
      <c r="F64" s="3">
        <v>95663</v>
      </c>
      <c r="G64" s="9">
        <v>45281</v>
      </c>
      <c r="H64" s="3">
        <v>8</v>
      </c>
      <c r="I64" s="7">
        <v>151</v>
      </c>
    </row>
    <row r="65" spans="1:9" x14ac:dyDescent="0.2">
      <c r="A65" s="3" t="s">
        <v>43</v>
      </c>
      <c r="B65" s="3" t="s">
        <v>55</v>
      </c>
      <c r="C65" s="3" t="s">
        <v>101</v>
      </c>
      <c r="D65" s="3" t="s">
        <v>56</v>
      </c>
      <c r="E65" s="3" t="s">
        <v>9</v>
      </c>
      <c r="F65" s="3">
        <v>95658</v>
      </c>
      <c r="G65" s="10">
        <v>45282</v>
      </c>
      <c r="H65" s="3">
        <v>1</v>
      </c>
      <c r="I65" s="7">
        <v>82</v>
      </c>
    </row>
  </sheetData>
  <sortState xmlns:xlrd2="http://schemas.microsoft.com/office/spreadsheetml/2017/richdata2" ref="A2:I65">
    <sortCondition ref="G2:G6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FC09-F847-40F3-AAED-EDC1EE21E560}">
  <dimension ref="A1:I66"/>
  <sheetViews>
    <sheetView topLeftCell="A57" zoomScale="120" zoomScaleNormal="120" workbookViewId="0">
      <selection activeCell="H59" sqref="H59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hidden="1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8">
        <v>44933</v>
      </c>
      <c r="H2" s="3">
        <v>11</v>
      </c>
      <c r="I2" s="7">
        <v>19</v>
      </c>
    </row>
    <row r="3" spans="1:9" hidden="1" x14ac:dyDescent="0.2">
      <c r="A3" s="3" t="s">
        <v>42</v>
      </c>
      <c r="B3" s="3" t="s">
        <v>162</v>
      </c>
      <c r="C3" s="3" t="s">
        <v>124</v>
      </c>
      <c r="D3" s="3" t="s">
        <v>54</v>
      </c>
      <c r="E3" s="3" t="s">
        <v>9</v>
      </c>
      <c r="F3" s="3">
        <v>95650</v>
      </c>
      <c r="G3" s="8">
        <v>44939</v>
      </c>
      <c r="H3" s="3">
        <v>13</v>
      </c>
      <c r="I3" s="7">
        <v>74</v>
      </c>
    </row>
    <row r="4" spans="1:9" x14ac:dyDescent="0.2">
      <c r="A4" s="3" t="s">
        <v>158</v>
      </c>
      <c r="B4" s="3" t="s">
        <v>68</v>
      </c>
      <c r="C4" s="3" t="s">
        <v>108</v>
      </c>
      <c r="D4" s="3" t="s">
        <v>8</v>
      </c>
      <c r="E4" s="3" t="s">
        <v>9</v>
      </c>
      <c r="F4" s="3">
        <v>95663</v>
      </c>
      <c r="G4" s="8">
        <v>44943</v>
      </c>
      <c r="H4" s="3">
        <v>6</v>
      </c>
      <c r="I4" s="7">
        <v>142</v>
      </c>
    </row>
    <row r="5" spans="1:9" hidden="1" x14ac:dyDescent="0.2">
      <c r="A5" s="3" t="s">
        <v>137</v>
      </c>
      <c r="B5" s="3" t="s">
        <v>138</v>
      </c>
      <c r="C5" s="3" t="s">
        <v>136</v>
      </c>
      <c r="D5" s="3" t="s">
        <v>10</v>
      </c>
      <c r="E5" s="3" t="s">
        <v>9</v>
      </c>
      <c r="F5" s="3">
        <v>95678</v>
      </c>
      <c r="G5" s="8">
        <v>44943</v>
      </c>
      <c r="H5" s="3">
        <v>18</v>
      </c>
      <c r="I5" s="7">
        <v>196</v>
      </c>
    </row>
    <row r="6" spans="1:9" hidden="1" x14ac:dyDescent="0.2">
      <c r="A6" s="3" t="s">
        <v>62</v>
      </c>
      <c r="B6" s="3" t="s">
        <v>75</v>
      </c>
      <c r="C6" s="3" t="s">
        <v>76</v>
      </c>
      <c r="D6" s="3" t="s">
        <v>8</v>
      </c>
      <c r="E6" s="3" t="s">
        <v>9</v>
      </c>
      <c r="F6" s="3">
        <v>95765</v>
      </c>
      <c r="G6" s="8">
        <v>44944</v>
      </c>
      <c r="H6" s="3">
        <v>4</v>
      </c>
      <c r="I6" s="7">
        <v>179</v>
      </c>
    </row>
    <row r="7" spans="1:9" hidden="1" x14ac:dyDescent="0.2">
      <c r="A7" s="3" t="s">
        <v>53</v>
      </c>
      <c r="B7" s="3" t="s">
        <v>66</v>
      </c>
      <c r="C7" s="3" t="s">
        <v>67</v>
      </c>
      <c r="D7" s="3" t="s">
        <v>10</v>
      </c>
      <c r="E7" s="3" t="s">
        <v>9</v>
      </c>
      <c r="F7" s="3">
        <v>95678</v>
      </c>
      <c r="G7" s="8">
        <v>44945</v>
      </c>
      <c r="H7" s="3">
        <v>8</v>
      </c>
      <c r="I7" s="7">
        <v>99</v>
      </c>
    </row>
    <row r="8" spans="1:9" hidden="1" x14ac:dyDescent="0.2">
      <c r="A8" s="3" t="s">
        <v>34</v>
      </c>
      <c r="B8" s="3" t="s">
        <v>46</v>
      </c>
      <c r="C8" s="3" t="s">
        <v>120</v>
      </c>
      <c r="D8" s="3" t="s">
        <v>93</v>
      </c>
      <c r="E8" s="3" t="s">
        <v>9</v>
      </c>
      <c r="F8" s="3">
        <v>95713</v>
      </c>
      <c r="G8" s="8">
        <v>44946</v>
      </c>
      <c r="H8" s="3">
        <v>17</v>
      </c>
      <c r="I8" s="7">
        <v>197</v>
      </c>
    </row>
    <row r="9" spans="1:9" hidden="1" x14ac:dyDescent="0.2">
      <c r="A9" s="3" t="s">
        <v>161</v>
      </c>
      <c r="B9" s="3" t="s">
        <v>88</v>
      </c>
      <c r="C9" s="3" t="s">
        <v>89</v>
      </c>
      <c r="D9" s="3" t="s">
        <v>90</v>
      </c>
      <c r="E9" s="3" t="s">
        <v>9</v>
      </c>
      <c r="F9" s="3">
        <v>95765</v>
      </c>
      <c r="G9" s="8">
        <v>44959</v>
      </c>
      <c r="H9" s="3">
        <v>14</v>
      </c>
      <c r="I9" s="7">
        <v>87</v>
      </c>
    </row>
    <row r="10" spans="1:9" x14ac:dyDescent="0.2">
      <c r="A10" s="3" t="s">
        <v>148</v>
      </c>
      <c r="B10" s="3" t="s">
        <v>11</v>
      </c>
      <c r="C10" s="3" t="s">
        <v>81</v>
      </c>
      <c r="D10" s="3" t="s">
        <v>8</v>
      </c>
      <c r="E10" s="3" t="s">
        <v>9</v>
      </c>
      <c r="F10" s="3">
        <v>95663</v>
      </c>
      <c r="G10" s="8">
        <v>44962</v>
      </c>
      <c r="H10" s="3">
        <v>15</v>
      </c>
      <c r="I10" s="7">
        <v>111</v>
      </c>
    </row>
    <row r="11" spans="1:9" hidden="1" x14ac:dyDescent="0.2">
      <c r="A11" s="3" t="s">
        <v>78</v>
      </c>
      <c r="B11" s="3" t="s">
        <v>91</v>
      </c>
      <c r="C11" s="3" t="s">
        <v>92</v>
      </c>
      <c r="D11" s="3" t="s">
        <v>93</v>
      </c>
      <c r="E11" s="3" t="s">
        <v>9</v>
      </c>
      <c r="F11" s="3">
        <v>95713</v>
      </c>
      <c r="G11" s="8">
        <v>44962</v>
      </c>
      <c r="H11" s="3">
        <v>7</v>
      </c>
      <c r="I11" s="7">
        <v>106</v>
      </c>
    </row>
    <row r="12" spans="1:9" hidden="1" x14ac:dyDescent="0.2">
      <c r="A12" s="3" t="s">
        <v>45</v>
      </c>
      <c r="B12" s="3" t="s">
        <v>151</v>
      </c>
      <c r="C12" s="3" t="s">
        <v>152</v>
      </c>
      <c r="D12" s="3" t="s">
        <v>28</v>
      </c>
      <c r="E12" s="3" t="s">
        <v>9</v>
      </c>
      <c r="F12" s="3">
        <v>95603</v>
      </c>
      <c r="G12" s="8">
        <v>44965</v>
      </c>
      <c r="H12" s="3">
        <v>16</v>
      </c>
      <c r="I12" s="7">
        <v>73</v>
      </c>
    </row>
    <row r="13" spans="1:9" hidden="1" x14ac:dyDescent="0.2">
      <c r="A13" s="3" t="s">
        <v>36</v>
      </c>
      <c r="B13" s="3" t="s">
        <v>48</v>
      </c>
      <c r="C13" s="3" t="s">
        <v>121</v>
      </c>
      <c r="D13" s="3" t="s">
        <v>125</v>
      </c>
      <c r="E13" s="3" t="s">
        <v>9</v>
      </c>
      <c r="F13" s="3">
        <v>95991</v>
      </c>
      <c r="G13" s="8">
        <v>44968</v>
      </c>
      <c r="H13" s="3">
        <v>7</v>
      </c>
      <c r="I13" s="7">
        <v>115</v>
      </c>
    </row>
    <row r="14" spans="1:9" hidden="1" x14ac:dyDescent="0.2">
      <c r="A14" s="3" t="s">
        <v>154</v>
      </c>
      <c r="B14" s="3" t="s">
        <v>155</v>
      </c>
      <c r="C14" s="3" t="s">
        <v>156</v>
      </c>
      <c r="D14" s="3" t="s">
        <v>125</v>
      </c>
      <c r="E14" s="3" t="s">
        <v>9</v>
      </c>
      <c r="F14" s="3">
        <v>95992</v>
      </c>
      <c r="G14" s="8">
        <v>44977</v>
      </c>
      <c r="H14" s="3">
        <v>12</v>
      </c>
      <c r="I14" s="7">
        <v>176</v>
      </c>
    </row>
    <row r="15" spans="1:9" hidden="1" x14ac:dyDescent="0.2">
      <c r="A15" s="3" t="s">
        <v>16</v>
      </c>
      <c r="B15" s="3" t="s">
        <v>149</v>
      </c>
      <c r="C15" s="3" t="s">
        <v>112</v>
      </c>
      <c r="D15" s="3" t="s">
        <v>28</v>
      </c>
      <c r="E15" s="3" t="s">
        <v>9</v>
      </c>
      <c r="F15" s="3">
        <v>95604</v>
      </c>
      <c r="G15" s="8">
        <v>44990</v>
      </c>
      <c r="H15" s="3">
        <v>4</v>
      </c>
      <c r="I15" s="7">
        <v>86</v>
      </c>
    </row>
    <row r="16" spans="1:9" hidden="1" x14ac:dyDescent="0.2">
      <c r="A16" s="3" t="s">
        <v>43</v>
      </c>
      <c r="B16" s="3" t="s">
        <v>55</v>
      </c>
      <c r="C16" s="3" t="s">
        <v>101</v>
      </c>
      <c r="D16" s="3" t="s">
        <v>56</v>
      </c>
      <c r="E16" s="3" t="s">
        <v>9</v>
      </c>
      <c r="F16" s="3">
        <v>95658</v>
      </c>
      <c r="G16" s="8">
        <v>45000</v>
      </c>
      <c r="H16" s="3">
        <v>20</v>
      </c>
      <c r="I16" s="7">
        <v>56</v>
      </c>
    </row>
    <row r="17" spans="1:9" hidden="1" x14ac:dyDescent="0.2">
      <c r="A17" s="3" t="s">
        <v>15</v>
      </c>
      <c r="B17" s="3" t="s">
        <v>24</v>
      </c>
      <c r="C17" s="3" t="s">
        <v>25</v>
      </c>
      <c r="D17" s="3" t="s">
        <v>10</v>
      </c>
      <c r="E17" s="3" t="s">
        <v>9</v>
      </c>
      <c r="F17" s="3">
        <v>95677</v>
      </c>
      <c r="G17" s="8">
        <v>45010</v>
      </c>
      <c r="H17" s="3">
        <v>5</v>
      </c>
      <c r="I17" s="7">
        <v>59</v>
      </c>
    </row>
    <row r="18" spans="1:9" hidden="1" x14ac:dyDescent="0.2">
      <c r="A18" s="3" t="s">
        <v>159</v>
      </c>
      <c r="B18" s="3" t="s">
        <v>94</v>
      </c>
      <c r="C18" s="3" t="s">
        <v>95</v>
      </c>
      <c r="D18" s="3" t="s">
        <v>28</v>
      </c>
      <c r="E18" s="3" t="s">
        <v>9</v>
      </c>
      <c r="F18" s="3">
        <v>95603</v>
      </c>
      <c r="G18" s="8">
        <v>45022</v>
      </c>
      <c r="H18" s="3">
        <v>11</v>
      </c>
      <c r="I18" s="7">
        <v>49</v>
      </c>
    </row>
    <row r="19" spans="1:9" hidden="1" x14ac:dyDescent="0.2">
      <c r="A19" s="3" t="s">
        <v>57</v>
      </c>
      <c r="B19" s="3" t="s">
        <v>70</v>
      </c>
      <c r="C19" s="3" t="s">
        <v>71</v>
      </c>
      <c r="D19" s="3" t="s">
        <v>10</v>
      </c>
      <c r="E19" s="3" t="s">
        <v>9</v>
      </c>
      <c r="F19" s="3">
        <v>95677</v>
      </c>
      <c r="G19" s="8">
        <v>45030</v>
      </c>
      <c r="H19" s="3">
        <v>10</v>
      </c>
      <c r="I19" s="7">
        <v>174</v>
      </c>
    </row>
    <row r="20" spans="1:9" x14ac:dyDescent="0.2">
      <c r="A20" s="3" t="s">
        <v>150</v>
      </c>
      <c r="B20" s="3" t="s">
        <v>11</v>
      </c>
      <c r="C20" s="3" t="s">
        <v>81</v>
      </c>
      <c r="D20" s="3" t="s">
        <v>8</v>
      </c>
      <c r="E20" s="3" t="s">
        <v>9</v>
      </c>
      <c r="F20" s="3">
        <v>95663</v>
      </c>
      <c r="G20" s="8">
        <v>45032</v>
      </c>
      <c r="H20" s="3">
        <v>19</v>
      </c>
      <c r="I20" s="7">
        <v>26</v>
      </c>
    </row>
    <row r="21" spans="1:9" hidden="1" x14ac:dyDescent="0.2">
      <c r="A21" s="3" t="s">
        <v>12</v>
      </c>
      <c r="B21" s="3" t="s">
        <v>69</v>
      </c>
      <c r="C21" s="3" t="s">
        <v>104</v>
      </c>
      <c r="D21" s="3" t="s">
        <v>8</v>
      </c>
      <c r="E21" s="3" t="s">
        <v>9</v>
      </c>
      <c r="F21" s="3">
        <v>95677</v>
      </c>
      <c r="G21" s="8">
        <v>45032</v>
      </c>
      <c r="H21" s="3">
        <v>11</v>
      </c>
      <c r="I21" s="7">
        <v>175</v>
      </c>
    </row>
    <row r="22" spans="1:9" hidden="1" x14ac:dyDescent="0.2">
      <c r="A22" s="3" t="s">
        <v>83</v>
      </c>
      <c r="B22" s="3" t="s">
        <v>97</v>
      </c>
      <c r="C22" s="3" t="s">
        <v>98</v>
      </c>
      <c r="D22" s="3" t="s">
        <v>99</v>
      </c>
      <c r="E22" s="3" t="s">
        <v>9</v>
      </c>
      <c r="F22" s="3">
        <v>95701</v>
      </c>
      <c r="G22" s="8">
        <v>45035</v>
      </c>
      <c r="H22" s="3">
        <v>3</v>
      </c>
      <c r="I22" s="7">
        <v>209</v>
      </c>
    </row>
    <row r="23" spans="1:9" hidden="1" x14ac:dyDescent="0.2">
      <c r="A23" s="3" t="s">
        <v>19</v>
      </c>
      <c r="B23" s="3" t="s">
        <v>33</v>
      </c>
      <c r="C23" s="3" t="s">
        <v>114</v>
      </c>
      <c r="D23" s="3" t="s">
        <v>90</v>
      </c>
      <c r="E23" s="3" t="s">
        <v>9</v>
      </c>
      <c r="F23" s="3">
        <v>95648</v>
      </c>
      <c r="G23" s="8">
        <v>45043</v>
      </c>
      <c r="H23" s="3">
        <v>6</v>
      </c>
      <c r="I23" s="7">
        <v>31</v>
      </c>
    </row>
    <row r="24" spans="1:9" hidden="1" x14ac:dyDescent="0.2">
      <c r="A24" s="3" t="s">
        <v>57</v>
      </c>
      <c r="B24" s="3" t="s">
        <v>70</v>
      </c>
      <c r="C24" s="3" t="s">
        <v>71</v>
      </c>
      <c r="D24" s="3" t="s">
        <v>10</v>
      </c>
      <c r="E24" s="3" t="s">
        <v>9</v>
      </c>
      <c r="F24" s="3">
        <v>95677</v>
      </c>
      <c r="G24" s="8">
        <v>45044</v>
      </c>
      <c r="H24" s="3">
        <v>16</v>
      </c>
      <c r="I24" s="7">
        <v>74</v>
      </c>
    </row>
    <row r="25" spans="1:9" hidden="1" x14ac:dyDescent="0.2">
      <c r="A25" s="3" t="s">
        <v>82</v>
      </c>
      <c r="B25" s="3" t="s">
        <v>96</v>
      </c>
      <c r="C25" s="3" t="s">
        <v>133</v>
      </c>
      <c r="D25" s="3" t="s">
        <v>99</v>
      </c>
      <c r="E25" s="3" t="s">
        <v>9</v>
      </c>
      <c r="F25" s="3">
        <v>95701</v>
      </c>
      <c r="G25" s="8">
        <v>45051</v>
      </c>
      <c r="H25" s="3">
        <v>5</v>
      </c>
      <c r="I25" s="7">
        <v>46</v>
      </c>
    </row>
    <row r="26" spans="1:9" hidden="1" x14ac:dyDescent="0.2">
      <c r="A26" s="3" t="s">
        <v>80</v>
      </c>
      <c r="B26" s="3" t="s">
        <v>94</v>
      </c>
      <c r="C26" s="3" t="s">
        <v>95</v>
      </c>
      <c r="D26" s="3" t="s">
        <v>28</v>
      </c>
      <c r="E26" s="3" t="s">
        <v>9</v>
      </c>
      <c r="F26" s="3">
        <v>95603</v>
      </c>
      <c r="G26" s="8">
        <v>45057</v>
      </c>
      <c r="H26" s="3">
        <v>7</v>
      </c>
      <c r="I26" s="7">
        <v>112</v>
      </c>
    </row>
    <row r="27" spans="1:9" hidden="1" x14ac:dyDescent="0.2">
      <c r="A27" s="3" t="s">
        <v>78</v>
      </c>
      <c r="B27" s="3" t="s">
        <v>91</v>
      </c>
      <c r="C27" s="3" t="s">
        <v>92</v>
      </c>
      <c r="D27" s="3" t="s">
        <v>93</v>
      </c>
      <c r="E27" s="3" t="s">
        <v>9</v>
      </c>
      <c r="F27" s="3">
        <v>95713</v>
      </c>
      <c r="G27" s="8">
        <v>45058</v>
      </c>
      <c r="H27" s="3">
        <v>16</v>
      </c>
      <c r="I27" s="7">
        <v>185</v>
      </c>
    </row>
    <row r="28" spans="1:9" hidden="1" x14ac:dyDescent="0.2">
      <c r="A28" s="3" t="s">
        <v>13</v>
      </c>
      <c r="B28" s="3" t="s">
        <v>20</v>
      </c>
      <c r="C28" s="3" t="s">
        <v>110</v>
      </c>
      <c r="D28" s="3" t="s">
        <v>8</v>
      </c>
      <c r="E28" s="3" t="s">
        <v>9</v>
      </c>
      <c r="F28" s="3">
        <v>95650</v>
      </c>
      <c r="G28" s="8">
        <v>45068</v>
      </c>
      <c r="H28" s="3">
        <v>19</v>
      </c>
      <c r="I28" s="7">
        <v>139</v>
      </c>
    </row>
    <row r="29" spans="1:9" hidden="1" x14ac:dyDescent="0.2">
      <c r="A29" s="3" t="s">
        <v>58</v>
      </c>
      <c r="B29" s="3" t="s">
        <v>139</v>
      </c>
      <c r="C29" s="3" t="s">
        <v>105</v>
      </c>
      <c r="D29" s="3" t="s">
        <v>8</v>
      </c>
      <c r="E29" s="3" t="s">
        <v>9</v>
      </c>
      <c r="F29" s="3">
        <v>95677</v>
      </c>
      <c r="G29" s="8">
        <v>45068</v>
      </c>
      <c r="H29" s="3">
        <v>11</v>
      </c>
      <c r="I29" s="7">
        <v>206</v>
      </c>
    </row>
    <row r="30" spans="1:9" hidden="1" x14ac:dyDescent="0.2">
      <c r="A30" s="3" t="s">
        <v>131</v>
      </c>
      <c r="B30" s="3" t="s">
        <v>132</v>
      </c>
      <c r="C30" s="3" t="s">
        <v>134</v>
      </c>
      <c r="D30" s="3" t="s">
        <v>99</v>
      </c>
      <c r="E30" s="3" t="s">
        <v>9</v>
      </c>
      <c r="F30" s="3">
        <v>95701</v>
      </c>
      <c r="G30" s="8">
        <v>45069</v>
      </c>
      <c r="H30" s="3">
        <v>16</v>
      </c>
      <c r="I30" s="7">
        <v>208</v>
      </c>
    </row>
    <row r="31" spans="1:9" x14ac:dyDescent="0.2">
      <c r="A31" s="3" t="s">
        <v>87</v>
      </c>
      <c r="B31" s="3" t="s">
        <v>6</v>
      </c>
      <c r="C31" s="3" t="s">
        <v>7</v>
      </c>
      <c r="D31" s="3" t="s">
        <v>8</v>
      </c>
      <c r="E31" s="3" t="s">
        <v>9</v>
      </c>
      <c r="F31" s="3">
        <v>95663</v>
      </c>
      <c r="G31" s="8">
        <v>45072</v>
      </c>
      <c r="H31" s="3">
        <v>9</v>
      </c>
      <c r="I31" s="7">
        <v>163</v>
      </c>
    </row>
    <row r="32" spans="1:9" hidden="1" x14ac:dyDescent="0.2">
      <c r="A32" s="3" t="s">
        <v>26</v>
      </c>
      <c r="B32" s="3" t="s">
        <v>39</v>
      </c>
      <c r="C32" s="3" t="s">
        <v>116</v>
      </c>
      <c r="D32" s="3" t="s">
        <v>90</v>
      </c>
      <c r="E32" s="3" t="s">
        <v>9</v>
      </c>
      <c r="F32" s="3">
        <v>95765</v>
      </c>
      <c r="G32" s="8">
        <v>45072</v>
      </c>
      <c r="H32" s="3">
        <v>17</v>
      </c>
      <c r="I32" s="7">
        <v>25</v>
      </c>
    </row>
    <row r="33" spans="1:9" hidden="1" x14ac:dyDescent="0.2">
      <c r="A33" s="3" t="s">
        <v>135</v>
      </c>
      <c r="B33" s="3" t="s">
        <v>69</v>
      </c>
      <c r="C33" s="3" t="s">
        <v>104</v>
      </c>
      <c r="D33" s="3" t="s">
        <v>8</v>
      </c>
      <c r="E33" s="3" t="s">
        <v>9</v>
      </c>
      <c r="F33" s="3">
        <v>95677</v>
      </c>
      <c r="G33" s="8">
        <v>45082</v>
      </c>
      <c r="H33" s="3">
        <v>11</v>
      </c>
      <c r="I33" s="7">
        <v>38</v>
      </c>
    </row>
    <row r="34" spans="1:9" hidden="1" x14ac:dyDescent="0.2">
      <c r="A34" s="3" t="s">
        <v>47</v>
      </c>
      <c r="B34" s="3" t="s">
        <v>59</v>
      </c>
      <c r="C34" s="3" t="s">
        <v>146</v>
      </c>
      <c r="D34" s="3" t="s">
        <v>28</v>
      </c>
      <c r="E34" s="3" t="s">
        <v>9</v>
      </c>
      <c r="F34" s="3">
        <v>95604</v>
      </c>
      <c r="G34" s="8">
        <v>45091</v>
      </c>
      <c r="H34" s="3">
        <v>14</v>
      </c>
      <c r="I34" s="7">
        <v>48</v>
      </c>
    </row>
    <row r="35" spans="1:9" hidden="1" x14ac:dyDescent="0.2">
      <c r="A35" s="3" t="s">
        <v>62</v>
      </c>
      <c r="B35" s="3" t="s">
        <v>75</v>
      </c>
      <c r="C35" s="3" t="s">
        <v>76</v>
      </c>
      <c r="D35" s="3" t="s">
        <v>8</v>
      </c>
      <c r="E35" s="3" t="s">
        <v>9</v>
      </c>
      <c r="F35" s="3">
        <v>95765</v>
      </c>
      <c r="G35" s="8">
        <v>45095</v>
      </c>
      <c r="H35" s="3">
        <v>19</v>
      </c>
      <c r="I35" s="7">
        <v>137</v>
      </c>
    </row>
    <row r="36" spans="1:9" hidden="1" x14ac:dyDescent="0.2">
      <c r="A36" s="3" t="s">
        <v>32</v>
      </c>
      <c r="B36" s="3" t="s">
        <v>44</v>
      </c>
      <c r="C36" s="3" t="s">
        <v>119</v>
      </c>
      <c r="D36" s="3" t="s">
        <v>90</v>
      </c>
      <c r="E36" s="3" t="s">
        <v>9</v>
      </c>
      <c r="F36" s="3">
        <v>95648</v>
      </c>
      <c r="G36" s="8">
        <v>45103</v>
      </c>
      <c r="H36" s="3">
        <v>6</v>
      </c>
      <c r="I36" s="7">
        <v>171</v>
      </c>
    </row>
    <row r="37" spans="1:9" x14ac:dyDescent="0.2">
      <c r="A37" s="3" t="s">
        <v>68</v>
      </c>
      <c r="B37" s="3" t="s">
        <v>79</v>
      </c>
      <c r="C37" s="3" t="s">
        <v>107</v>
      </c>
      <c r="D37" s="3" t="s">
        <v>8</v>
      </c>
      <c r="E37" s="3" t="s">
        <v>9</v>
      </c>
      <c r="F37" s="3">
        <v>95663</v>
      </c>
      <c r="G37" s="8">
        <v>45116</v>
      </c>
      <c r="H37" s="3">
        <v>6</v>
      </c>
      <c r="I37" s="7">
        <v>144</v>
      </c>
    </row>
    <row r="38" spans="1:9" hidden="1" x14ac:dyDescent="0.2">
      <c r="A38" s="3" t="s">
        <v>17</v>
      </c>
      <c r="B38" s="3" t="s">
        <v>27</v>
      </c>
      <c r="C38" s="3" t="s">
        <v>112</v>
      </c>
      <c r="D38" s="3" t="s">
        <v>28</v>
      </c>
      <c r="E38" s="3" t="s">
        <v>9</v>
      </c>
      <c r="F38" s="3">
        <v>95604</v>
      </c>
      <c r="G38" s="8">
        <v>45118</v>
      </c>
      <c r="H38" s="3">
        <v>8</v>
      </c>
      <c r="I38" s="7">
        <v>176</v>
      </c>
    </row>
    <row r="39" spans="1:9" x14ac:dyDescent="0.2">
      <c r="A39" s="3" t="s">
        <v>157</v>
      </c>
      <c r="B39" s="3" t="s">
        <v>68</v>
      </c>
      <c r="C39" s="3" t="s">
        <v>108</v>
      </c>
      <c r="D39" s="3" t="s">
        <v>8</v>
      </c>
      <c r="E39" s="3" t="s">
        <v>9</v>
      </c>
      <c r="F39" s="3">
        <v>95663</v>
      </c>
      <c r="G39" s="8">
        <v>45132</v>
      </c>
      <c r="H39" s="3">
        <v>20</v>
      </c>
      <c r="I39" s="7">
        <v>166</v>
      </c>
    </row>
    <row r="40" spans="1:9" hidden="1" x14ac:dyDescent="0.2">
      <c r="A40" s="3" t="s">
        <v>160</v>
      </c>
      <c r="B40" s="3" t="s">
        <v>88</v>
      </c>
      <c r="C40" s="3" t="s">
        <v>89</v>
      </c>
      <c r="D40" s="3" t="s">
        <v>90</v>
      </c>
      <c r="E40" s="3" t="s">
        <v>9</v>
      </c>
      <c r="F40" s="3">
        <v>95765</v>
      </c>
      <c r="G40" s="8">
        <v>45139</v>
      </c>
      <c r="H40" s="3">
        <v>11</v>
      </c>
      <c r="I40" s="7">
        <v>199</v>
      </c>
    </row>
    <row r="41" spans="1:9" hidden="1" x14ac:dyDescent="0.2">
      <c r="A41" s="3" t="s">
        <v>83</v>
      </c>
      <c r="B41" s="3" t="s">
        <v>97</v>
      </c>
      <c r="C41" s="3" t="s">
        <v>98</v>
      </c>
      <c r="D41" s="3" t="s">
        <v>99</v>
      </c>
      <c r="E41" s="3" t="s">
        <v>9</v>
      </c>
      <c r="F41" s="3">
        <v>95701</v>
      </c>
      <c r="G41" s="8">
        <v>45146</v>
      </c>
      <c r="H41" s="3">
        <v>4</v>
      </c>
      <c r="I41" s="7">
        <v>214</v>
      </c>
    </row>
    <row r="42" spans="1:9" hidden="1" x14ac:dyDescent="0.2">
      <c r="A42" s="3" t="s">
        <v>130</v>
      </c>
      <c r="B42" s="3" t="s">
        <v>77</v>
      </c>
      <c r="C42" s="3" t="s">
        <v>106</v>
      </c>
      <c r="D42" s="3" t="s">
        <v>8</v>
      </c>
      <c r="E42" s="3" t="s">
        <v>9</v>
      </c>
      <c r="F42" s="3">
        <v>95650</v>
      </c>
      <c r="G42" s="8">
        <v>45148</v>
      </c>
      <c r="H42" s="3">
        <v>6</v>
      </c>
      <c r="I42" s="7">
        <v>208</v>
      </c>
    </row>
    <row r="43" spans="1:9" hidden="1" x14ac:dyDescent="0.2">
      <c r="A43" s="3" t="s">
        <v>38</v>
      </c>
      <c r="B43" s="3" t="s">
        <v>50</v>
      </c>
      <c r="C43" s="3" t="s">
        <v>122</v>
      </c>
      <c r="D43" s="3" t="s">
        <v>56</v>
      </c>
      <c r="E43" s="3" t="s">
        <v>9</v>
      </c>
      <c r="F43" s="3">
        <v>95658</v>
      </c>
      <c r="G43" s="8">
        <v>45148</v>
      </c>
      <c r="H43" s="3">
        <v>1</v>
      </c>
      <c r="I43" s="7">
        <v>198</v>
      </c>
    </row>
    <row r="44" spans="1:9" hidden="1" x14ac:dyDescent="0.2">
      <c r="A44" s="3" t="s">
        <v>49</v>
      </c>
      <c r="B44" s="3" t="s">
        <v>61</v>
      </c>
      <c r="C44" s="3" t="s">
        <v>102</v>
      </c>
      <c r="D44" s="3" t="s">
        <v>125</v>
      </c>
      <c r="E44" s="3" t="s">
        <v>9</v>
      </c>
      <c r="F44" s="3">
        <v>95992</v>
      </c>
      <c r="G44" s="8">
        <v>45192</v>
      </c>
      <c r="H44" s="3">
        <v>14</v>
      </c>
      <c r="I44" s="7">
        <v>183</v>
      </c>
    </row>
    <row r="45" spans="1:9" hidden="1" x14ac:dyDescent="0.2">
      <c r="A45" s="3" t="s">
        <v>65</v>
      </c>
      <c r="B45" s="3" t="s">
        <v>77</v>
      </c>
      <c r="C45" s="3" t="s">
        <v>106</v>
      </c>
      <c r="D45" s="3" t="s">
        <v>8</v>
      </c>
      <c r="E45" s="3" t="s">
        <v>9</v>
      </c>
      <c r="F45" s="3">
        <v>95650</v>
      </c>
      <c r="G45" s="8">
        <v>45193</v>
      </c>
      <c r="H45" s="3">
        <v>7</v>
      </c>
      <c r="I45" s="7">
        <v>42</v>
      </c>
    </row>
    <row r="46" spans="1:9" hidden="1" x14ac:dyDescent="0.2">
      <c r="A46" s="3" t="s">
        <v>128</v>
      </c>
      <c r="B46" s="3" t="s">
        <v>129</v>
      </c>
      <c r="C46" s="3" t="s">
        <v>109</v>
      </c>
      <c r="D46" s="3" t="s">
        <v>10</v>
      </c>
      <c r="E46" s="3" t="s">
        <v>9</v>
      </c>
      <c r="F46" s="3">
        <v>95765</v>
      </c>
      <c r="G46" s="8">
        <v>45208</v>
      </c>
      <c r="H46" s="3">
        <v>7</v>
      </c>
      <c r="I46" s="7">
        <v>115</v>
      </c>
    </row>
    <row r="47" spans="1:9" hidden="1" x14ac:dyDescent="0.2">
      <c r="A47" s="3" t="s">
        <v>142</v>
      </c>
      <c r="B47" s="3" t="s">
        <v>141</v>
      </c>
      <c r="C47" s="3" t="s">
        <v>105</v>
      </c>
      <c r="D47" s="3" t="s">
        <v>8</v>
      </c>
      <c r="E47" s="3" t="s">
        <v>9</v>
      </c>
      <c r="F47" s="3">
        <v>95677</v>
      </c>
      <c r="G47" s="8">
        <v>45213</v>
      </c>
      <c r="H47" s="3">
        <v>7</v>
      </c>
      <c r="I47" s="7">
        <v>64</v>
      </c>
    </row>
    <row r="48" spans="1:9" hidden="1" x14ac:dyDescent="0.2">
      <c r="A48" s="3" t="s">
        <v>14</v>
      </c>
      <c r="B48" s="3" t="s">
        <v>22</v>
      </c>
      <c r="C48" s="3" t="s">
        <v>111</v>
      </c>
      <c r="D48" s="3" t="s">
        <v>10</v>
      </c>
      <c r="E48" s="3" t="s">
        <v>9</v>
      </c>
      <c r="F48" s="3">
        <v>95661</v>
      </c>
      <c r="G48" s="8">
        <v>45216</v>
      </c>
      <c r="H48" s="3">
        <v>12</v>
      </c>
      <c r="I48" s="7">
        <v>89</v>
      </c>
    </row>
    <row r="49" spans="1:9" hidden="1" x14ac:dyDescent="0.2">
      <c r="A49" s="3" t="s">
        <v>84</v>
      </c>
      <c r="B49" s="3" t="s">
        <v>100</v>
      </c>
      <c r="C49" s="3" t="s">
        <v>153</v>
      </c>
      <c r="D49" s="3" t="s">
        <v>28</v>
      </c>
      <c r="E49" s="3" t="s">
        <v>9</v>
      </c>
      <c r="F49" s="3">
        <v>95603</v>
      </c>
      <c r="G49" s="8">
        <v>45222</v>
      </c>
      <c r="H49" s="3">
        <v>17</v>
      </c>
      <c r="I49" s="7">
        <v>193</v>
      </c>
    </row>
    <row r="50" spans="1:9" hidden="1" x14ac:dyDescent="0.2">
      <c r="A50" s="3" t="s">
        <v>51</v>
      </c>
      <c r="B50" s="3" t="s">
        <v>63</v>
      </c>
      <c r="C50" s="3" t="s">
        <v>64</v>
      </c>
      <c r="D50" s="3" t="s">
        <v>125</v>
      </c>
      <c r="E50" s="3" t="s">
        <v>9</v>
      </c>
      <c r="F50" s="3">
        <v>95991</v>
      </c>
      <c r="G50" s="8">
        <v>45223</v>
      </c>
      <c r="H50" s="3">
        <v>18</v>
      </c>
      <c r="I50" s="7">
        <v>15</v>
      </c>
    </row>
    <row r="51" spans="1:9" x14ac:dyDescent="0.2">
      <c r="A51" s="3" t="s">
        <v>144</v>
      </c>
      <c r="B51" s="3" t="s">
        <v>145</v>
      </c>
      <c r="C51" s="3" t="s">
        <v>143</v>
      </c>
      <c r="D51" s="3" t="s">
        <v>8</v>
      </c>
      <c r="E51" s="3" t="s">
        <v>9</v>
      </c>
      <c r="F51" s="3">
        <v>95663</v>
      </c>
      <c r="G51" s="8">
        <v>45226</v>
      </c>
      <c r="H51" s="3">
        <v>8</v>
      </c>
      <c r="I51" s="7">
        <v>160</v>
      </c>
    </row>
    <row r="52" spans="1:9" hidden="1" x14ac:dyDescent="0.2">
      <c r="A52" s="3" t="s">
        <v>147</v>
      </c>
      <c r="B52" s="3" t="s">
        <v>59</v>
      </c>
      <c r="C52" s="3" t="s">
        <v>146</v>
      </c>
      <c r="D52" s="3" t="s">
        <v>28</v>
      </c>
      <c r="E52" s="3" t="s">
        <v>9</v>
      </c>
      <c r="F52" s="3">
        <v>95604</v>
      </c>
      <c r="G52" s="8">
        <v>45227</v>
      </c>
      <c r="H52" s="3">
        <v>16</v>
      </c>
      <c r="I52" s="7">
        <v>139</v>
      </c>
    </row>
    <row r="53" spans="1:9" hidden="1" x14ac:dyDescent="0.2">
      <c r="A53" s="3" t="s">
        <v>126</v>
      </c>
      <c r="B53" s="3" t="s">
        <v>127</v>
      </c>
      <c r="C53" s="3" t="s">
        <v>103</v>
      </c>
      <c r="D53" s="3" t="s">
        <v>125</v>
      </c>
      <c r="E53" s="3" t="s">
        <v>9</v>
      </c>
      <c r="F53" s="3">
        <v>95991</v>
      </c>
      <c r="G53" s="8">
        <v>45232</v>
      </c>
      <c r="H53" s="3">
        <v>14</v>
      </c>
      <c r="I53" s="7">
        <v>16</v>
      </c>
    </row>
    <row r="54" spans="1:9" hidden="1" x14ac:dyDescent="0.2">
      <c r="A54" s="3" t="s">
        <v>60</v>
      </c>
      <c r="B54" s="3" t="s">
        <v>72</v>
      </c>
      <c r="C54" s="3" t="s">
        <v>73</v>
      </c>
      <c r="D54" s="3" t="s">
        <v>8</v>
      </c>
      <c r="E54" s="3" t="s">
        <v>9</v>
      </c>
      <c r="F54" s="3">
        <v>95650</v>
      </c>
      <c r="G54" s="8">
        <v>45238</v>
      </c>
      <c r="H54" s="3">
        <v>20</v>
      </c>
      <c r="I54" s="7">
        <v>74</v>
      </c>
    </row>
    <row r="55" spans="1:9" hidden="1" x14ac:dyDescent="0.2">
      <c r="A55" s="3" t="s">
        <v>74</v>
      </c>
      <c r="B55" s="3" t="s">
        <v>85</v>
      </c>
      <c r="C55" s="3" t="s">
        <v>86</v>
      </c>
      <c r="D55" s="3" t="s">
        <v>10</v>
      </c>
      <c r="E55" s="3" t="s">
        <v>9</v>
      </c>
      <c r="F55" s="3">
        <v>95765</v>
      </c>
      <c r="G55" s="8">
        <v>45251</v>
      </c>
      <c r="H55" s="3">
        <v>19</v>
      </c>
      <c r="I55" s="7">
        <v>104</v>
      </c>
    </row>
    <row r="56" spans="1:9" hidden="1" x14ac:dyDescent="0.2">
      <c r="A56" s="3" t="s">
        <v>29</v>
      </c>
      <c r="B56" s="3" t="s">
        <v>41</v>
      </c>
      <c r="C56" s="3" t="s">
        <v>117</v>
      </c>
      <c r="D56" s="3" t="s">
        <v>125</v>
      </c>
      <c r="E56" s="3" t="s">
        <v>9</v>
      </c>
      <c r="F56" s="3">
        <v>95991</v>
      </c>
      <c r="G56" s="8">
        <v>45255</v>
      </c>
      <c r="H56" s="3">
        <v>4</v>
      </c>
      <c r="I56" s="7">
        <v>200</v>
      </c>
    </row>
    <row r="57" spans="1:9" x14ac:dyDescent="0.2">
      <c r="A57" s="3" t="s">
        <v>40</v>
      </c>
      <c r="B57" s="3" t="s">
        <v>52</v>
      </c>
      <c r="C57" s="3" t="s">
        <v>123</v>
      </c>
      <c r="D57" s="3" t="s">
        <v>8</v>
      </c>
      <c r="E57" s="3" t="s">
        <v>9</v>
      </c>
      <c r="F57" s="3">
        <v>95663</v>
      </c>
      <c r="G57" s="8">
        <v>45258</v>
      </c>
      <c r="H57" s="3">
        <v>13</v>
      </c>
      <c r="I57" s="7">
        <v>42</v>
      </c>
    </row>
    <row r="58" spans="1:9" hidden="1" x14ac:dyDescent="0.2">
      <c r="A58" s="3" t="s">
        <v>30</v>
      </c>
      <c r="B58" s="3" t="s">
        <v>11</v>
      </c>
      <c r="C58" s="3" t="s">
        <v>118</v>
      </c>
      <c r="D58" s="3" t="s">
        <v>8</v>
      </c>
      <c r="E58" s="3" t="s">
        <v>9</v>
      </c>
      <c r="F58" s="3">
        <v>95677</v>
      </c>
      <c r="G58" s="8">
        <v>45265</v>
      </c>
      <c r="H58" s="3">
        <v>19</v>
      </c>
      <c r="I58" s="7">
        <v>11</v>
      </c>
    </row>
    <row r="59" spans="1:9" hidden="1" x14ac:dyDescent="0.2">
      <c r="A59" s="3" t="s">
        <v>45</v>
      </c>
      <c r="B59" s="3" t="s">
        <v>151</v>
      </c>
      <c r="C59" s="3" t="s">
        <v>152</v>
      </c>
      <c r="D59" s="3" t="s">
        <v>28</v>
      </c>
      <c r="E59" s="3" t="s">
        <v>9</v>
      </c>
      <c r="F59" s="3">
        <v>95603</v>
      </c>
      <c r="G59" s="8">
        <v>45266</v>
      </c>
      <c r="H59" s="3">
        <v>2</v>
      </c>
      <c r="I59" s="7">
        <v>96</v>
      </c>
    </row>
    <row r="60" spans="1:9" hidden="1" x14ac:dyDescent="0.2">
      <c r="A60" s="3" t="s">
        <v>60</v>
      </c>
      <c r="B60" s="3" t="s">
        <v>72</v>
      </c>
      <c r="C60" s="3" t="s">
        <v>73</v>
      </c>
      <c r="D60" s="3" t="s">
        <v>8</v>
      </c>
      <c r="E60" s="3" t="s">
        <v>9</v>
      </c>
      <c r="F60" s="3">
        <v>95650</v>
      </c>
      <c r="G60" s="8">
        <v>45267</v>
      </c>
      <c r="H60" s="3">
        <v>14</v>
      </c>
      <c r="I60" s="7">
        <v>84</v>
      </c>
    </row>
    <row r="61" spans="1:9" hidden="1" x14ac:dyDescent="0.2">
      <c r="A61" s="3" t="s">
        <v>21</v>
      </c>
      <c r="B61" s="3" t="s">
        <v>35</v>
      </c>
      <c r="C61" s="3" t="s">
        <v>166</v>
      </c>
      <c r="D61" s="3" t="s">
        <v>125</v>
      </c>
      <c r="E61" s="3" t="s">
        <v>9</v>
      </c>
      <c r="F61" s="3">
        <v>95992</v>
      </c>
      <c r="G61" s="8">
        <v>45268</v>
      </c>
      <c r="H61" s="3">
        <v>12</v>
      </c>
      <c r="I61" s="7">
        <v>65</v>
      </c>
    </row>
    <row r="62" spans="1:9" hidden="1" x14ac:dyDescent="0.2">
      <c r="A62" s="3" t="s">
        <v>18</v>
      </c>
      <c r="B62" s="3" t="s">
        <v>31</v>
      </c>
      <c r="C62" s="3" t="s">
        <v>113</v>
      </c>
      <c r="D62" s="3" t="s">
        <v>99</v>
      </c>
      <c r="E62" s="3" t="s">
        <v>9</v>
      </c>
      <c r="F62" s="3">
        <v>95701</v>
      </c>
      <c r="G62" s="8">
        <v>45281</v>
      </c>
      <c r="H62" s="3">
        <v>7</v>
      </c>
      <c r="I62" s="7">
        <v>147</v>
      </c>
    </row>
    <row r="63" spans="1:9" hidden="1" x14ac:dyDescent="0.2">
      <c r="A63" s="3" t="s">
        <v>23</v>
      </c>
      <c r="B63" s="3" t="s">
        <v>37</v>
      </c>
      <c r="C63" s="3" t="s">
        <v>115</v>
      </c>
      <c r="D63" s="3" t="s">
        <v>90</v>
      </c>
      <c r="E63" s="3" t="s">
        <v>9</v>
      </c>
      <c r="F63" s="3">
        <v>95648</v>
      </c>
      <c r="G63" s="8">
        <v>45281</v>
      </c>
      <c r="H63" s="3">
        <v>5</v>
      </c>
      <c r="I63" s="7">
        <v>17</v>
      </c>
    </row>
    <row r="64" spans="1:9" x14ac:dyDescent="0.2">
      <c r="A64" s="3" t="s">
        <v>140</v>
      </c>
      <c r="B64" s="3" t="s">
        <v>11</v>
      </c>
      <c r="C64" s="3" t="s">
        <v>81</v>
      </c>
      <c r="D64" s="3" t="s">
        <v>8</v>
      </c>
      <c r="E64" s="3" t="s">
        <v>9</v>
      </c>
      <c r="F64" s="3">
        <v>95663</v>
      </c>
      <c r="G64" s="8">
        <v>45281</v>
      </c>
      <c r="H64" s="3">
        <v>8</v>
      </c>
      <c r="I64" s="7">
        <v>151</v>
      </c>
    </row>
    <row r="65" spans="1:9" hidden="1" x14ac:dyDescent="0.2">
      <c r="A65" s="3" t="s">
        <v>43</v>
      </c>
      <c r="B65" s="3" t="s">
        <v>55</v>
      </c>
      <c r="C65" s="3" t="s">
        <v>101</v>
      </c>
      <c r="D65" s="3" t="s">
        <v>56</v>
      </c>
      <c r="E65" s="3" t="s">
        <v>9</v>
      </c>
      <c r="F65" s="3">
        <v>95658</v>
      </c>
      <c r="G65" s="8">
        <v>45282</v>
      </c>
      <c r="H65" s="3">
        <v>1</v>
      </c>
      <c r="I65" s="7">
        <v>82</v>
      </c>
    </row>
    <row r="66" spans="1:9" x14ac:dyDescent="0.2">
      <c r="A66" s="1" t="s">
        <v>167</v>
      </c>
      <c r="B66" s="1"/>
      <c r="C66" s="1"/>
      <c r="D66" s="1"/>
      <c r="E66" s="1"/>
      <c r="F66" s="1"/>
      <c r="G66" s="23"/>
      <c r="H66" s="1">
        <f>SUBTOTAL(109,Table1['# Items Purchased])</f>
        <v>104</v>
      </c>
      <c r="I66" s="2">
        <f>SUBTOTAL(109,Table1[Purchase Total])</f>
        <v>1105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C691-2EEB-411D-9958-698207AF5326}">
  <dimension ref="A1:I65"/>
  <sheetViews>
    <sheetView zoomScale="120" zoomScaleNormal="120" workbookViewId="0">
      <selection activeCell="L70" sqref="L70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hidden="1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8">
        <v>44933</v>
      </c>
      <c r="H2" s="3">
        <v>11</v>
      </c>
      <c r="I2" s="7">
        <v>19</v>
      </c>
    </row>
    <row r="3" spans="1:9" hidden="1" x14ac:dyDescent="0.2">
      <c r="A3" s="3" t="s">
        <v>159</v>
      </c>
      <c r="B3" s="3" t="s">
        <v>94</v>
      </c>
      <c r="C3" s="3" t="s">
        <v>95</v>
      </c>
      <c r="D3" s="3" t="s">
        <v>28</v>
      </c>
      <c r="E3" s="3" t="s">
        <v>9</v>
      </c>
      <c r="F3" s="3">
        <v>95603</v>
      </c>
      <c r="G3" s="8">
        <v>45022</v>
      </c>
      <c r="H3" s="3">
        <v>11</v>
      </c>
      <c r="I3" s="7">
        <v>49</v>
      </c>
    </row>
    <row r="4" spans="1:9" x14ac:dyDescent="0.2">
      <c r="A4" s="3" t="s">
        <v>45</v>
      </c>
      <c r="B4" s="3" t="s">
        <v>151</v>
      </c>
      <c r="C4" s="3" t="s">
        <v>152</v>
      </c>
      <c r="D4" s="3" t="s">
        <v>28</v>
      </c>
      <c r="E4" s="3" t="s">
        <v>9</v>
      </c>
      <c r="F4" s="3">
        <v>95603</v>
      </c>
      <c r="G4" s="8">
        <v>44965</v>
      </c>
      <c r="H4" s="3">
        <v>16</v>
      </c>
      <c r="I4" s="7">
        <v>73</v>
      </c>
    </row>
    <row r="5" spans="1:9" hidden="1" x14ac:dyDescent="0.2">
      <c r="A5" s="3" t="s">
        <v>45</v>
      </c>
      <c r="B5" s="3" t="s">
        <v>151</v>
      </c>
      <c r="C5" s="3" t="s">
        <v>152</v>
      </c>
      <c r="D5" s="3" t="s">
        <v>28</v>
      </c>
      <c r="E5" s="3" t="s">
        <v>9</v>
      </c>
      <c r="F5" s="3">
        <v>95603</v>
      </c>
      <c r="G5" s="8">
        <v>45266</v>
      </c>
      <c r="H5" s="3">
        <v>2</v>
      </c>
      <c r="I5" s="7">
        <v>96</v>
      </c>
    </row>
    <row r="6" spans="1:9" hidden="1" x14ac:dyDescent="0.2">
      <c r="A6" s="3" t="s">
        <v>80</v>
      </c>
      <c r="B6" s="3" t="s">
        <v>94</v>
      </c>
      <c r="C6" s="3" t="s">
        <v>95</v>
      </c>
      <c r="D6" s="3" t="s">
        <v>28</v>
      </c>
      <c r="E6" s="3" t="s">
        <v>9</v>
      </c>
      <c r="F6" s="3">
        <v>95603</v>
      </c>
      <c r="G6" s="8">
        <v>45057</v>
      </c>
      <c r="H6" s="3">
        <v>7</v>
      </c>
      <c r="I6" s="7">
        <v>112</v>
      </c>
    </row>
    <row r="7" spans="1:9" hidden="1" x14ac:dyDescent="0.2">
      <c r="A7" s="3" t="s">
        <v>84</v>
      </c>
      <c r="B7" s="3" t="s">
        <v>100</v>
      </c>
      <c r="C7" s="3" t="s">
        <v>153</v>
      </c>
      <c r="D7" s="3" t="s">
        <v>28</v>
      </c>
      <c r="E7" s="3" t="s">
        <v>9</v>
      </c>
      <c r="F7" s="3">
        <v>95603</v>
      </c>
      <c r="G7" s="8">
        <v>45222</v>
      </c>
      <c r="H7" s="3">
        <v>17</v>
      </c>
      <c r="I7" s="7">
        <v>193</v>
      </c>
    </row>
    <row r="8" spans="1:9" hidden="1" x14ac:dyDescent="0.2">
      <c r="A8" s="3" t="s">
        <v>47</v>
      </c>
      <c r="B8" s="3" t="s">
        <v>59</v>
      </c>
      <c r="C8" s="3" t="s">
        <v>146</v>
      </c>
      <c r="D8" s="3" t="s">
        <v>28</v>
      </c>
      <c r="E8" s="3" t="s">
        <v>9</v>
      </c>
      <c r="F8" s="3">
        <v>95604</v>
      </c>
      <c r="G8" s="8">
        <v>45091</v>
      </c>
      <c r="H8" s="3">
        <v>14</v>
      </c>
      <c r="I8" s="7">
        <v>48</v>
      </c>
    </row>
    <row r="9" spans="1:9" hidden="1" x14ac:dyDescent="0.2">
      <c r="A9" s="3" t="s">
        <v>16</v>
      </c>
      <c r="B9" s="3" t="s">
        <v>149</v>
      </c>
      <c r="C9" s="3" t="s">
        <v>112</v>
      </c>
      <c r="D9" s="3" t="s">
        <v>28</v>
      </c>
      <c r="E9" s="3" t="s">
        <v>9</v>
      </c>
      <c r="F9" s="3">
        <v>95604</v>
      </c>
      <c r="G9" s="8">
        <v>44990</v>
      </c>
      <c r="H9" s="3">
        <v>4</v>
      </c>
      <c r="I9" s="7">
        <v>86</v>
      </c>
    </row>
    <row r="10" spans="1:9" hidden="1" x14ac:dyDescent="0.2">
      <c r="A10" s="3" t="s">
        <v>147</v>
      </c>
      <c r="B10" s="3" t="s">
        <v>59</v>
      </c>
      <c r="C10" s="3" t="s">
        <v>146</v>
      </c>
      <c r="D10" s="3" t="s">
        <v>28</v>
      </c>
      <c r="E10" s="3" t="s">
        <v>9</v>
      </c>
      <c r="F10" s="3">
        <v>95604</v>
      </c>
      <c r="G10" s="8">
        <v>45227</v>
      </c>
      <c r="H10" s="3">
        <v>16</v>
      </c>
      <c r="I10" s="7">
        <v>139</v>
      </c>
    </row>
    <row r="11" spans="1:9" hidden="1" x14ac:dyDescent="0.2">
      <c r="A11" s="3" t="s">
        <v>17</v>
      </c>
      <c r="B11" s="3" t="s">
        <v>27</v>
      </c>
      <c r="C11" s="3" t="s">
        <v>112</v>
      </c>
      <c r="D11" s="3" t="s">
        <v>28</v>
      </c>
      <c r="E11" s="3" t="s">
        <v>9</v>
      </c>
      <c r="F11" s="3">
        <v>95604</v>
      </c>
      <c r="G11" s="8">
        <v>45118</v>
      </c>
      <c r="H11" s="3">
        <v>8</v>
      </c>
      <c r="I11" s="7">
        <v>176</v>
      </c>
    </row>
    <row r="12" spans="1:9" hidden="1" x14ac:dyDescent="0.2">
      <c r="A12" s="3" t="s">
        <v>23</v>
      </c>
      <c r="B12" s="3" t="s">
        <v>37</v>
      </c>
      <c r="C12" s="3" t="s">
        <v>115</v>
      </c>
      <c r="D12" s="3" t="s">
        <v>90</v>
      </c>
      <c r="E12" s="3" t="s">
        <v>9</v>
      </c>
      <c r="F12" s="3">
        <v>95648</v>
      </c>
      <c r="G12" s="8">
        <v>45281</v>
      </c>
      <c r="H12" s="3">
        <v>5</v>
      </c>
      <c r="I12" s="7">
        <v>17</v>
      </c>
    </row>
    <row r="13" spans="1:9" hidden="1" x14ac:dyDescent="0.2">
      <c r="A13" s="3" t="s">
        <v>19</v>
      </c>
      <c r="B13" s="3" t="s">
        <v>33</v>
      </c>
      <c r="C13" s="3" t="s">
        <v>114</v>
      </c>
      <c r="D13" s="3" t="s">
        <v>90</v>
      </c>
      <c r="E13" s="3" t="s">
        <v>9</v>
      </c>
      <c r="F13" s="3">
        <v>95648</v>
      </c>
      <c r="G13" s="8">
        <v>45043</v>
      </c>
      <c r="H13" s="3">
        <v>6</v>
      </c>
      <c r="I13" s="7">
        <v>31</v>
      </c>
    </row>
    <row r="14" spans="1:9" hidden="1" x14ac:dyDescent="0.2">
      <c r="A14" s="3" t="s">
        <v>32</v>
      </c>
      <c r="B14" s="3" t="s">
        <v>44</v>
      </c>
      <c r="C14" s="3" t="s">
        <v>119</v>
      </c>
      <c r="D14" s="3" t="s">
        <v>90</v>
      </c>
      <c r="E14" s="3" t="s">
        <v>9</v>
      </c>
      <c r="F14" s="3">
        <v>95648</v>
      </c>
      <c r="G14" s="8">
        <v>45103</v>
      </c>
      <c r="H14" s="3">
        <v>6</v>
      </c>
      <c r="I14" s="7">
        <v>171</v>
      </c>
    </row>
    <row r="15" spans="1:9" hidden="1" x14ac:dyDescent="0.2">
      <c r="A15" s="3" t="s">
        <v>42</v>
      </c>
      <c r="B15" s="3" t="s">
        <v>162</v>
      </c>
      <c r="C15" s="3" t="s">
        <v>124</v>
      </c>
      <c r="D15" s="3" t="s">
        <v>54</v>
      </c>
      <c r="E15" s="3" t="s">
        <v>9</v>
      </c>
      <c r="F15" s="3">
        <v>95650</v>
      </c>
      <c r="G15" s="8">
        <v>44939</v>
      </c>
      <c r="H15" s="3">
        <v>13</v>
      </c>
      <c r="I15" s="7">
        <v>74</v>
      </c>
    </row>
    <row r="16" spans="1:9" hidden="1" x14ac:dyDescent="0.2">
      <c r="A16" s="3" t="s">
        <v>65</v>
      </c>
      <c r="B16" s="3" t="s">
        <v>77</v>
      </c>
      <c r="C16" s="3" t="s">
        <v>106</v>
      </c>
      <c r="D16" s="3" t="s">
        <v>8</v>
      </c>
      <c r="E16" s="3" t="s">
        <v>9</v>
      </c>
      <c r="F16" s="3">
        <v>95650</v>
      </c>
      <c r="G16" s="8">
        <v>45193</v>
      </c>
      <c r="H16" s="3">
        <v>7</v>
      </c>
      <c r="I16" s="7">
        <v>42</v>
      </c>
    </row>
    <row r="17" spans="1:9" hidden="1" x14ac:dyDescent="0.2">
      <c r="A17" s="3" t="s">
        <v>60</v>
      </c>
      <c r="B17" s="3" t="s">
        <v>72</v>
      </c>
      <c r="C17" s="3" t="s">
        <v>73</v>
      </c>
      <c r="D17" s="3" t="s">
        <v>8</v>
      </c>
      <c r="E17" s="3" t="s">
        <v>9</v>
      </c>
      <c r="F17" s="3">
        <v>95650</v>
      </c>
      <c r="G17" s="8">
        <v>45238</v>
      </c>
      <c r="H17" s="3">
        <v>20</v>
      </c>
      <c r="I17" s="7">
        <v>74</v>
      </c>
    </row>
    <row r="18" spans="1:9" hidden="1" x14ac:dyDescent="0.2">
      <c r="A18" s="3" t="s">
        <v>60</v>
      </c>
      <c r="B18" s="3" t="s">
        <v>72</v>
      </c>
      <c r="C18" s="3" t="s">
        <v>73</v>
      </c>
      <c r="D18" s="3" t="s">
        <v>8</v>
      </c>
      <c r="E18" s="3" t="s">
        <v>9</v>
      </c>
      <c r="F18" s="3">
        <v>95650</v>
      </c>
      <c r="G18" s="8">
        <v>45267</v>
      </c>
      <c r="H18" s="3">
        <v>14</v>
      </c>
      <c r="I18" s="7">
        <v>84</v>
      </c>
    </row>
    <row r="19" spans="1:9" hidden="1" x14ac:dyDescent="0.2">
      <c r="A19" s="3" t="s">
        <v>13</v>
      </c>
      <c r="B19" s="3" t="s">
        <v>20</v>
      </c>
      <c r="C19" s="3" t="s">
        <v>110</v>
      </c>
      <c r="D19" s="3" t="s">
        <v>8</v>
      </c>
      <c r="E19" s="3" t="s">
        <v>9</v>
      </c>
      <c r="F19" s="3">
        <v>95650</v>
      </c>
      <c r="G19" s="8">
        <v>45068</v>
      </c>
      <c r="H19" s="3">
        <v>19</v>
      </c>
      <c r="I19" s="7">
        <v>139</v>
      </c>
    </row>
    <row r="20" spans="1:9" hidden="1" x14ac:dyDescent="0.2">
      <c r="A20" s="3" t="s">
        <v>130</v>
      </c>
      <c r="B20" s="3" t="s">
        <v>77</v>
      </c>
      <c r="C20" s="3" t="s">
        <v>106</v>
      </c>
      <c r="D20" s="3" t="s">
        <v>8</v>
      </c>
      <c r="E20" s="3" t="s">
        <v>9</v>
      </c>
      <c r="F20" s="3">
        <v>95650</v>
      </c>
      <c r="G20" s="8">
        <v>45148</v>
      </c>
      <c r="H20" s="3">
        <v>6</v>
      </c>
      <c r="I20" s="7">
        <v>208</v>
      </c>
    </row>
    <row r="21" spans="1:9" hidden="1" x14ac:dyDescent="0.2">
      <c r="A21" s="3" t="s">
        <v>43</v>
      </c>
      <c r="B21" s="3" t="s">
        <v>55</v>
      </c>
      <c r="C21" s="3" t="s">
        <v>101</v>
      </c>
      <c r="D21" s="3" t="s">
        <v>56</v>
      </c>
      <c r="E21" s="3" t="s">
        <v>9</v>
      </c>
      <c r="F21" s="3">
        <v>95658</v>
      </c>
      <c r="G21" s="8">
        <v>45000</v>
      </c>
      <c r="H21" s="3">
        <v>20</v>
      </c>
      <c r="I21" s="7">
        <v>56</v>
      </c>
    </row>
    <row r="22" spans="1:9" hidden="1" x14ac:dyDescent="0.2">
      <c r="A22" s="3" t="s">
        <v>43</v>
      </c>
      <c r="B22" s="3" t="s">
        <v>55</v>
      </c>
      <c r="C22" s="3" t="s">
        <v>101</v>
      </c>
      <c r="D22" s="3" t="s">
        <v>56</v>
      </c>
      <c r="E22" s="3" t="s">
        <v>9</v>
      </c>
      <c r="F22" s="3">
        <v>95658</v>
      </c>
      <c r="G22" s="8">
        <v>45282</v>
      </c>
      <c r="H22" s="3">
        <v>1</v>
      </c>
      <c r="I22" s="7">
        <v>82</v>
      </c>
    </row>
    <row r="23" spans="1:9" hidden="1" x14ac:dyDescent="0.2">
      <c r="A23" s="3" t="s">
        <v>38</v>
      </c>
      <c r="B23" s="3" t="s">
        <v>50</v>
      </c>
      <c r="C23" s="3" t="s">
        <v>122</v>
      </c>
      <c r="D23" s="3" t="s">
        <v>56</v>
      </c>
      <c r="E23" s="3" t="s">
        <v>9</v>
      </c>
      <c r="F23" s="3">
        <v>95658</v>
      </c>
      <c r="G23" s="8">
        <v>45148</v>
      </c>
      <c r="H23" s="3">
        <v>1</v>
      </c>
      <c r="I23" s="7">
        <v>198</v>
      </c>
    </row>
    <row r="24" spans="1:9" hidden="1" x14ac:dyDescent="0.2">
      <c r="A24" s="3" t="s">
        <v>14</v>
      </c>
      <c r="B24" s="3" t="s">
        <v>22</v>
      </c>
      <c r="C24" s="3" t="s">
        <v>111</v>
      </c>
      <c r="D24" s="3" t="s">
        <v>10</v>
      </c>
      <c r="E24" s="3" t="s">
        <v>9</v>
      </c>
      <c r="F24" s="3">
        <v>95661</v>
      </c>
      <c r="G24" s="8">
        <v>45216</v>
      </c>
      <c r="H24" s="3">
        <v>12</v>
      </c>
      <c r="I24" s="7">
        <v>89</v>
      </c>
    </row>
    <row r="25" spans="1:9" hidden="1" x14ac:dyDescent="0.2">
      <c r="A25" s="3" t="s">
        <v>150</v>
      </c>
      <c r="B25" s="3" t="s">
        <v>11</v>
      </c>
      <c r="C25" s="3" t="s">
        <v>81</v>
      </c>
      <c r="D25" s="3" t="s">
        <v>8</v>
      </c>
      <c r="E25" s="3" t="s">
        <v>9</v>
      </c>
      <c r="F25" s="3">
        <v>95663</v>
      </c>
      <c r="G25" s="8">
        <v>45032</v>
      </c>
      <c r="H25" s="3">
        <v>19</v>
      </c>
      <c r="I25" s="7">
        <v>26</v>
      </c>
    </row>
    <row r="26" spans="1:9" hidden="1" x14ac:dyDescent="0.2">
      <c r="A26" s="3" t="s">
        <v>40</v>
      </c>
      <c r="B26" s="3" t="s">
        <v>52</v>
      </c>
      <c r="C26" s="3" t="s">
        <v>123</v>
      </c>
      <c r="D26" s="3" t="s">
        <v>8</v>
      </c>
      <c r="E26" s="3" t="s">
        <v>9</v>
      </c>
      <c r="F26" s="3">
        <v>95663</v>
      </c>
      <c r="G26" s="8">
        <v>45258</v>
      </c>
      <c r="H26" s="3">
        <v>13</v>
      </c>
      <c r="I26" s="7">
        <v>42</v>
      </c>
    </row>
    <row r="27" spans="1:9" x14ac:dyDescent="0.2">
      <c r="A27" s="3" t="s">
        <v>148</v>
      </c>
      <c r="B27" s="3" t="s">
        <v>11</v>
      </c>
      <c r="C27" s="3" t="s">
        <v>81</v>
      </c>
      <c r="D27" s="3" t="s">
        <v>8</v>
      </c>
      <c r="E27" s="3" t="s">
        <v>9</v>
      </c>
      <c r="F27" s="3">
        <v>95663</v>
      </c>
      <c r="G27" s="8">
        <v>44962</v>
      </c>
      <c r="H27" s="3">
        <v>15</v>
      </c>
      <c r="I27" s="7">
        <v>111</v>
      </c>
    </row>
    <row r="28" spans="1:9" hidden="1" x14ac:dyDescent="0.2">
      <c r="A28" s="3" t="s">
        <v>158</v>
      </c>
      <c r="B28" s="3" t="s">
        <v>68</v>
      </c>
      <c r="C28" s="3" t="s">
        <v>108</v>
      </c>
      <c r="D28" s="3" t="s">
        <v>8</v>
      </c>
      <c r="E28" s="3" t="s">
        <v>9</v>
      </c>
      <c r="F28" s="3">
        <v>95663</v>
      </c>
      <c r="G28" s="8">
        <v>44943</v>
      </c>
      <c r="H28" s="3">
        <v>6</v>
      </c>
      <c r="I28" s="7">
        <v>142</v>
      </c>
    </row>
    <row r="29" spans="1:9" hidden="1" x14ac:dyDescent="0.2">
      <c r="A29" s="3" t="s">
        <v>68</v>
      </c>
      <c r="B29" s="3" t="s">
        <v>79</v>
      </c>
      <c r="C29" s="3" t="s">
        <v>107</v>
      </c>
      <c r="D29" s="3" t="s">
        <v>8</v>
      </c>
      <c r="E29" s="3" t="s">
        <v>9</v>
      </c>
      <c r="F29" s="3">
        <v>95663</v>
      </c>
      <c r="G29" s="8">
        <v>45116</v>
      </c>
      <c r="H29" s="3">
        <v>6</v>
      </c>
      <c r="I29" s="7">
        <v>144</v>
      </c>
    </row>
    <row r="30" spans="1:9" hidden="1" x14ac:dyDescent="0.2">
      <c r="A30" s="3" t="s">
        <v>140</v>
      </c>
      <c r="B30" s="3" t="s">
        <v>11</v>
      </c>
      <c r="C30" s="3" t="s">
        <v>81</v>
      </c>
      <c r="D30" s="3" t="s">
        <v>8</v>
      </c>
      <c r="E30" s="3" t="s">
        <v>9</v>
      </c>
      <c r="F30" s="3">
        <v>95663</v>
      </c>
      <c r="G30" s="8">
        <v>45281</v>
      </c>
      <c r="H30" s="3">
        <v>8</v>
      </c>
      <c r="I30" s="7">
        <v>151</v>
      </c>
    </row>
    <row r="31" spans="1:9" hidden="1" x14ac:dyDescent="0.2">
      <c r="A31" s="3" t="s">
        <v>144</v>
      </c>
      <c r="B31" s="3" t="s">
        <v>145</v>
      </c>
      <c r="C31" s="3" t="s">
        <v>143</v>
      </c>
      <c r="D31" s="3" t="s">
        <v>8</v>
      </c>
      <c r="E31" s="3" t="s">
        <v>9</v>
      </c>
      <c r="F31" s="3">
        <v>95663</v>
      </c>
      <c r="G31" s="8">
        <v>45226</v>
      </c>
      <c r="H31" s="3">
        <v>8</v>
      </c>
      <c r="I31" s="7">
        <v>160</v>
      </c>
    </row>
    <row r="32" spans="1:9" hidden="1" x14ac:dyDescent="0.2">
      <c r="A32" s="3" t="s">
        <v>87</v>
      </c>
      <c r="B32" s="3" t="s">
        <v>6</v>
      </c>
      <c r="C32" s="3" t="s">
        <v>7</v>
      </c>
      <c r="D32" s="3" t="s">
        <v>8</v>
      </c>
      <c r="E32" s="3" t="s">
        <v>9</v>
      </c>
      <c r="F32" s="3">
        <v>95663</v>
      </c>
      <c r="G32" s="8">
        <v>45072</v>
      </c>
      <c r="H32" s="3">
        <v>9</v>
      </c>
      <c r="I32" s="7">
        <v>163</v>
      </c>
    </row>
    <row r="33" spans="1:9" hidden="1" x14ac:dyDescent="0.2">
      <c r="A33" s="3" t="s">
        <v>157</v>
      </c>
      <c r="B33" s="3" t="s">
        <v>68</v>
      </c>
      <c r="C33" s="3" t="s">
        <v>108</v>
      </c>
      <c r="D33" s="3" t="s">
        <v>8</v>
      </c>
      <c r="E33" s="3" t="s">
        <v>9</v>
      </c>
      <c r="F33" s="3">
        <v>95663</v>
      </c>
      <c r="G33" s="8">
        <v>45132</v>
      </c>
      <c r="H33" s="3">
        <v>20</v>
      </c>
      <c r="I33" s="7">
        <v>166</v>
      </c>
    </row>
    <row r="34" spans="1:9" hidden="1" x14ac:dyDescent="0.2">
      <c r="A34" s="3" t="s">
        <v>30</v>
      </c>
      <c r="B34" s="3" t="s">
        <v>11</v>
      </c>
      <c r="C34" s="3" t="s">
        <v>118</v>
      </c>
      <c r="D34" s="3" t="s">
        <v>8</v>
      </c>
      <c r="E34" s="3" t="s">
        <v>9</v>
      </c>
      <c r="F34" s="3">
        <v>95677</v>
      </c>
      <c r="G34" s="8">
        <v>45265</v>
      </c>
      <c r="H34" s="3">
        <v>19</v>
      </c>
      <c r="I34" s="7">
        <v>11</v>
      </c>
    </row>
    <row r="35" spans="1:9" hidden="1" x14ac:dyDescent="0.2">
      <c r="A35" s="3" t="s">
        <v>135</v>
      </c>
      <c r="B35" s="3" t="s">
        <v>69</v>
      </c>
      <c r="C35" s="3" t="s">
        <v>104</v>
      </c>
      <c r="D35" s="3" t="s">
        <v>8</v>
      </c>
      <c r="E35" s="3" t="s">
        <v>9</v>
      </c>
      <c r="F35" s="3">
        <v>95677</v>
      </c>
      <c r="G35" s="8">
        <v>45082</v>
      </c>
      <c r="H35" s="3">
        <v>11</v>
      </c>
      <c r="I35" s="7">
        <v>38</v>
      </c>
    </row>
    <row r="36" spans="1:9" hidden="1" x14ac:dyDescent="0.2">
      <c r="A36" s="3" t="s">
        <v>142</v>
      </c>
      <c r="B36" s="3" t="s">
        <v>141</v>
      </c>
      <c r="C36" s="3" t="s">
        <v>105</v>
      </c>
      <c r="D36" s="3" t="s">
        <v>8</v>
      </c>
      <c r="E36" s="3" t="s">
        <v>9</v>
      </c>
      <c r="F36" s="3">
        <v>95677</v>
      </c>
      <c r="G36" s="8">
        <v>45213</v>
      </c>
      <c r="H36" s="3">
        <v>7</v>
      </c>
      <c r="I36" s="7">
        <v>64</v>
      </c>
    </row>
    <row r="37" spans="1:9" hidden="1" x14ac:dyDescent="0.2">
      <c r="A37" s="3" t="s">
        <v>12</v>
      </c>
      <c r="B37" s="3" t="s">
        <v>69</v>
      </c>
      <c r="C37" s="3" t="s">
        <v>104</v>
      </c>
      <c r="D37" s="3" t="s">
        <v>8</v>
      </c>
      <c r="E37" s="3" t="s">
        <v>9</v>
      </c>
      <c r="F37" s="3">
        <v>95677</v>
      </c>
      <c r="G37" s="8">
        <v>45032</v>
      </c>
      <c r="H37" s="3">
        <v>11</v>
      </c>
      <c r="I37" s="7">
        <v>175</v>
      </c>
    </row>
    <row r="38" spans="1:9" hidden="1" x14ac:dyDescent="0.2">
      <c r="A38" s="3" t="s">
        <v>58</v>
      </c>
      <c r="B38" s="3" t="s">
        <v>139</v>
      </c>
      <c r="C38" s="3" t="s">
        <v>105</v>
      </c>
      <c r="D38" s="3" t="s">
        <v>8</v>
      </c>
      <c r="E38" s="3" t="s">
        <v>9</v>
      </c>
      <c r="F38" s="3">
        <v>95677</v>
      </c>
      <c r="G38" s="8">
        <v>45068</v>
      </c>
      <c r="H38" s="3">
        <v>11</v>
      </c>
      <c r="I38" s="7">
        <v>206</v>
      </c>
    </row>
    <row r="39" spans="1:9" hidden="1" x14ac:dyDescent="0.2">
      <c r="A39" s="3" t="s">
        <v>15</v>
      </c>
      <c r="B39" s="3" t="s">
        <v>24</v>
      </c>
      <c r="C39" s="3" t="s">
        <v>25</v>
      </c>
      <c r="D39" s="3" t="s">
        <v>10</v>
      </c>
      <c r="E39" s="3" t="s">
        <v>9</v>
      </c>
      <c r="F39" s="3">
        <v>95677</v>
      </c>
      <c r="G39" s="8">
        <v>45010</v>
      </c>
      <c r="H39" s="3">
        <v>5</v>
      </c>
      <c r="I39" s="7">
        <v>59</v>
      </c>
    </row>
    <row r="40" spans="1:9" hidden="1" x14ac:dyDescent="0.2">
      <c r="A40" s="3" t="s">
        <v>57</v>
      </c>
      <c r="B40" s="3" t="s">
        <v>70</v>
      </c>
      <c r="C40" s="3" t="s">
        <v>71</v>
      </c>
      <c r="D40" s="3" t="s">
        <v>10</v>
      </c>
      <c r="E40" s="3" t="s">
        <v>9</v>
      </c>
      <c r="F40" s="3">
        <v>95677</v>
      </c>
      <c r="G40" s="8">
        <v>45044</v>
      </c>
      <c r="H40" s="3">
        <v>16</v>
      </c>
      <c r="I40" s="7">
        <v>74</v>
      </c>
    </row>
    <row r="41" spans="1:9" hidden="1" x14ac:dyDescent="0.2">
      <c r="A41" s="3" t="s">
        <v>57</v>
      </c>
      <c r="B41" s="3" t="s">
        <v>70</v>
      </c>
      <c r="C41" s="3" t="s">
        <v>71</v>
      </c>
      <c r="D41" s="3" t="s">
        <v>10</v>
      </c>
      <c r="E41" s="3" t="s">
        <v>9</v>
      </c>
      <c r="F41" s="3">
        <v>95677</v>
      </c>
      <c r="G41" s="8">
        <v>45030</v>
      </c>
      <c r="H41" s="3">
        <v>10</v>
      </c>
      <c r="I41" s="7">
        <v>174</v>
      </c>
    </row>
    <row r="42" spans="1:9" hidden="1" x14ac:dyDescent="0.2">
      <c r="A42" s="3" t="s">
        <v>53</v>
      </c>
      <c r="B42" s="3" t="s">
        <v>66</v>
      </c>
      <c r="C42" s="3" t="s">
        <v>67</v>
      </c>
      <c r="D42" s="3" t="s">
        <v>10</v>
      </c>
      <c r="E42" s="3" t="s">
        <v>9</v>
      </c>
      <c r="F42" s="3">
        <v>95678</v>
      </c>
      <c r="G42" s="8">
        <v>44945</v>
      </c>
      <c r="H42" s="3">
        <v>8</v>
      </c>
      <c r="I42" s="7">
        <v>99</v>
      </c>
    </row>
    <row r="43" spans="1:9" hidden="1" x14ac:dyDescent="0.2">
      <c r="A43" s="3" t="s">
        <v>137</v>
      </c>
      <c r="B43" s="3" t="s">
        <v>138</v>
      </c>
      <c r="C43" s="3" t="s">
        <v>136</v>
      </c>
      <c r="D43" s="3" t="s">
        <v>10</v>
      </c>
      <c r="E43" s="3" t="s">
        <v>9</v>
      </c>
      <c r="F43" s="3">
        <v>95678</v>
      </c>
      <c r="G43" s="8">
        <v>44943</v>
      </c>
      <c r="H43" s="3">
        <v>18</v>
      </c>
      <c r="I43" s="7">
        <v>196</v>
      </c>
    </row>
    <row r="44" spans="1:9" hidden="1" x14ac:dyDescent="0.2">
      <c r="A44" s="3" t="s">
        <v>82</v>
      </c>
      <c r="B44" s="3" t="s">
        <v>96</v>
      </c>
      <c r="C44" s="3" t="s">
        <v>133</v>
      </c>
      <c r="D44" s="3" t="s">
        <v>99</v>
      </c>
      <c r="E44" s="3" t="s">
        <v>9</v>
      </c>
      <c r="F44" s="3">
        <v>95701</v>
      </c>
      <c r="G44" s="8">
        <v>45051</v>
      </c>
      <c r="H44" s="3">
        <v>5</v>
      </c>
      <c r="I44" s="7">
        <v>46</v>
      </c>
    </row>
    <row r="45" spans="1:9" hidden="1" x14ac:dyDescent="0.2">
      <c r="A45" s="3" t="s">
        <v>18</v>
      </c>
      <c r="B45" s="3" t="s">
        <v>31</v>
      </c>
      <c r="C45" s="3" t="s">
        <v>113</v>
      </c>
      <c r="D45" s="3" t="s">
        <v>99</v>
      </c>
      <c r="E45" s="3" t="s">
        <v>9</v>
      </c>
      <c r="F45" s="3">
        <v>95701</v>
      </c>
      <c r="G45" s="8">
        <v>45281</v>
      </c>
      <c r="H45" s="3">
        <v>7</v>
      </c>
      <c r="I45" s="7">
        <v>147</v>
      </c>
    </row>
    <row r="46" spans="1:9" hidden="1" x14ac:dyDescent="0.2">
      <c r="A46" s="3" t="s">
        <v>131</v>
      </c>
      <c r="B46" s="3" t="s">
        <v>132</v>
      </c>
      <c r="C46" s="3" t="s">
        <v>134</v>
      </c>
      <c r="D46" s="3" t="s">
        <v>99</v>
      </c>
      <c r="E46" s="3" t="s">
        <v>9</v>
      </c>
      <c r="F46" s="3">
        <v>95701</v>
      </c>
      <c r="G46" s="8">
        <v>45069</v>
      </c>
      <c r="H46" s="3">
        <v>16</v>
      </c>
      <c r="I46" s="7">
        <v>208</v>
      </c>
    </row>
    <row r="47" spans="1:9" hidden="1" x14ac:dyDescent="0.2">
      <c r="A47" s="3" t="s">
        <v>83</v>
      </c>
      <c r="B47" s="3" t="s">
        <v>97</v>
      </c>
      <c r="C47" s="3" t="s">
        <v>98</v>
      </c>
      <c r="D47" s="3" t="s">
        <v>99</v>
      </c>
      <c r="E47" s="3" t="s">
        <v>9</v>
      </c>
      <c r="F47" s="3">
        <v>95701</v>
      </c>
      <c r="G47" s="8">
        <v>45035</v>
      </c>
      <c r="H47" s="3">
        <v>3</v>
      </c>
      <c r="I47" s="7">
        <v>209</v>
      </c>
    </row>
    <row r="48" spans="1:9" hidden="1" x14ac:dyDescent="0.2">
      <c r="A48" s="3" t="s">
        <v>83</v>
      </c>
      <c r="B48" s="3" t="s">
        <v>97</v>
      </c>
      <c r="C48" s="3" t="s">
        <v>98</v>
      </c>
      <c r="D48" s="3" t="s">
        <v>99</v>
      </c>
      <c r="E48" s="3" t="s">
        <v>9</v>
      </c>
      <c r="F48" s="3">
        <v>95701</v>
      </c>
      <c r="G48" s="8">
        <v>45146</v>
      </c>
      <c r="H48" s="3">
        <v>4</v>
      </c>
      <c r="I48" s="7">
        <v>214</v>
      </c>
    </row>
    <row r="49" spans="1:9" x14ac:dyDescent="0.2">
      <c r="A49" s="3" t="s">
        <v>78</v>
      </c>
      <c r="B49" s="3" t="s">
        <v>91</v>
      </c>
      <c r="C49" s="3" t="s">
        <v>92</v>
      </c>
      <c r="D49" s="3" t="s">
        <v>93</v>
      </c>
      <c r="E49" s="3" t="s">
        <v>9</v>
      </c>
      <c r="F49" s="3">
        <v>95713</v>
      </c>
      <c r="G49" s="8">
        <v>44962</v>
      </c>
      <c r="H49" s="3">
        <v>7</v>
      </c>
      <c r="I49" s="7">
        <v>106</v>
      </c>
    </row>
    <row r="50" spans="1:9" hidden="1" x14ac:dyDescent="0.2">
      <c r="A50" s="3" t="s">
        <v>78</v>
      </c>
      <c r="B50" s="3" t="s">
        <v>91</v>
      </c>
      <c r="C50" s="3" t="s">
        <v>92</v>
      </c>
      <c r="D50" s="3" t="s">
        <v>93</v>
      </c>
      <c r="E50" s="3" t="s">
        <v>9</v>
      </c>
      <c r="F50" s="3">
        <v>95713</v>
      </c>
      <c r="G50" s="8">
        <v>45058</v>
      </c>
      <c r="H50" s="3">
        <v>16</v>
      </c>
      <c r="I50" s="7">
        <v>185</v>
      </c>
    </row>
    <row r="51" spans="1:9" hidden="1" x14ac:dyDescent="0.2">
      <c r="A51" s="3" t="s">
        <v>34</v>
      </c>
      <c r="B51" s="3" t="s">
        <v>46</v>
      </c>
      <c r="C51" s="3" t="s">
        <v>120</v>
      </c>
      <c r="D51" s="3" t="s">
        <v>93</v>
      </c>
      <c r="E51" s="3" t="s">
        <v>9</v>
      </c>
      <c r="F51" s="3">
        <v>95713</v>
      </c>
      <c r="G51" s="8">
        <v>44946</v>
      </c>
      <c r="H51" s="3">
        <v>17</v>
      </c>
      <c r="I51" s="7">
        <v>197</v>
      </c>
    </row>
    <row r="52" spans="1:9" hidden="1" x14ac:dyDescent="0.2">
      <c r="A52" s="3" t="s">
        <v>26</v>
      </c>
      <c r="B52" s="3" t="s">
        <v>39</v>
      </c>
      <c r="C52" s="3" t="s">
        <v>116</v>
      </c>
      <c r="D52" s="3" t="s">
        <v>90</v>
      </c>
      <c r="E52" s="3" t="s">
        <v>9</v>
      </c>
      <c r="F52" s="3">
        <v>95765</v>
      </c>
      <c r="G52" s="8">
        <v>45072</v>
      </c>
      <c r="H52" s="3">
        <v>17</v>
      </c>
      <c r="I52" s="7">
        <v>25</v>
      </c>
    </row>
    <row r="53" spans="1:9" x14ac:dyDescent="0.2">
      <c r="A53" s="3" t="s">
        <v>161</v>
      </c>
      <c r="B53" s="3" t="s">
        <v>88</v>
      </c>
      <c r="C53" s="3" t="s">
        <v>89</v>
      </c>
      <c r="D53" s="3" t="s">
        <v>90</v>
      </c>
      <c r="E53" s="3" t="s">
        <v>9</v>
      </c>
      <c r="F53" s="3">
        <v>95765</v>
      </c>
      <c r="G53" s="8">
        <v>44959</v>
      </c>
      <c r="H53" s="3">
        <v>14</v>
      </c>
      <c r="I53" s="7">
        <v>87</v>
      </c>
    </row>
    <row r="54" spans="1:9" hidden="1" x14ac:dyDescent="0.2">
      <c r="A54" s="3" t="s">
        <v>160</v>
      </c>
      <c r="B54" s="3" t="s">
        <v>88</v>
      </c>
      <c r="C54" s="3" t="s">
        <v>89</v>
      </c>
      <c r="D54" s="3" t="s">
        <v>90</v>
      </c>
      <c r="E54" s="3" t="s">
        <v>9</v>
      </c>
      <c r="F54" s="3">
        <v>95765</v>
      </c>
      <c r="G54" s="8">
        <v>45139</v>
      </c>
      <c r="H54" s="3">
        <v>11</v>
      </c>
      <c r="I54" s="7">
        <v>199</v>
      </c>
    </row>
    <row r="55" spans="1:9" hidden="1" x14ac:dyDescent="0.2">
      <c r="A55" s="3" t="s">
        <v>62</v>
      </c>
      <c r="B55" s="3" t="s">
        <v>75</v>
      </c>
      <c r="C55" s="3" t="s">
        <v>76</v>
      </c>
      <c r="D55" s="3" t="s">
        <v>8</v>
      </c>
      <c r="E55" s="3" t="s">
        <v>9</v>
      </c>
      <c r="F55" s="3">
        <v>95765</v>
      </c>
      <c r="G55" s="8">
        <v>45095</v>
      </c>
      <c r="H55" s="3">
        <v>19</v>
      </c>
      <c r="I55" s="7">
        <v>137</v>
      </c>
    </row>
    <row r="56" spans="1:9" hidden="1" x14ac:dyDescent="0.2">
      <c r="A56" s="3" t="s">
        <v>62</v>
      </c>
      <c r="B56" s="3" t="s">
        <v>75</v>
      </c>
      <c r="C56" s="3" t="s">
        <v>76</v>
      </c>
      <c r="D56" s="3" t="s">
        <v>8</v>
      </c>
      <c r="E56" s="3" t="s">
        <v>9</v>
      </c>
      <c r="F56" s="3">
        <v>95765</v>
      </c>
      <c r="G56" s="8">
        <v>44944</v>
      </c>
      <c r="H56" s="3">
        <v>4</v>
      </c>
      <c r="I56" s="7">
        <v>179</v>
      </c>
    </row>
    <row r="57" spans="1:9" hidden="1" x14ac:dyDescent="0.2">
      <c r="A57" s="3" t="s">
        <v>74</v>
      </c>
      <c r="B57" s="3" t="s">
        <v>85</v>
      </c>
      <c r="C57" s="3" t="s">
        <v>86</v>
      </c>
      <c r="D57" s="3" t="s">
        <v>10</v>
      </c>
      <c r="E57" s="3" t="s">
        <v>9</v>
      </c>
      <c r="F57" s="3">
        <v>95765</v>
      </c>
      <c r="G57" s="8">
        <v>45251</v>
      </c>
      <c r="H57" s="3">
        <v>19</v>
      </c>
      <c r="I57" s="7">
        <v>104</v>
      </c>
    </row>
    <row r="58" spans="1:9" hidden="1" x14ac:dyDescent="0.2">
      <c r="A58" s="3" t="s">
        <v>128</v>
      </c>
      <c r="B58" s="3" t="s">
        <v>129</v>
      </c>
      <c r="C58" s="3" t="s">
        <v>109</v>
      </c>
      <c r="D58" s="3" t="s">
        <v>10</v>
      </c>
      <c r="E58" s="3" t="s">
        <v>9</v>
      </c>
      <c r="F58" s="3">
        <v>95765</v>
      </c>
      <c r="G58" s="8">
        <v>45208</v>
      </c>
      <c r="H58" s="3">
        <v>7</v>
      </c>
      <c r="I58" s="7">
        <v>115</v>
      </c>
    </row>
    <row r="59" spans="1:9" hidden="1" x14ac:dyDescent="0.2">
      <c r="A59" s="3" t="s">
        <v>51</v>
      </c>
      <c r="B59" s="3" t="s">
        <v>63</v>
      </c>
      <c r="C59" s="3" t="s">
        <v>64</v>
      </c>
      <c r="D59" s="3" t="s">
        <v>125</v>
      </c>
      <c r="E59" s="3" t="s">
        <v>9</v>
      </c>
      <c r="F59" s="3">
        <v>95991</v>
      </c>
      <c r="G59" s="8">
        <v>45223</v>
      </c>
      <c r="H59" s="3">
        <v>18</v>
      </c>
      <c r="I59" s="7">
        <v>15</v>
      </c>
    </row>
    <row r="60" spans="1:9" hidden="1" x14ac:dyDescent="0.2">
      <c r="A60" s="3" t="s">
        <v>126</v>
      </c>
      <c r="B60" s="3" t="s">
        <v>127</v>
      </c>
      <c r="C60" s="3" t="s">
        <v>103</v>
      </c>
      <c r="D60" s="3" t="s">
        <v>125</v>
      </c>
      <c r="E60" s="3" t="s">
        <v>9</v>
      </c>
      <c r="F60" s="3">
        <v>95991</v>
      </c>
      <c r="G60" s="8">
        <v>45232</v>
      </c>
      <c r="H60" s="3">
        <v>14</v>
      </c>
      <c r="I60" s="7">
        <v>16</v>
      </c>
    </row>
    <row r="61" spans="1:9" x14ac:dyDescent="0.2">
      <c r="A61" s="3" t="s">
        <v>36</v>
      </c>
      <c r="B61" s="3" t="s">
        <v>48</v>
      </c>
      <c r="C61" s="3" t="s">
        <v>121</v>
      </c>
      <c r="D61" s="3" t="s">
        <v>125</v>
      </c>
      <c r="E61" s="3" t="s">
        <v>9</v>
      </c>
      <c r="F61" s="3">
        <v>95991</v>
      </c>
      <c r="G61" s="8">
        <v>44968</v>
      </c>
      <c r="H61" s="3">
        <v>7</v>
      </c>
      <c r="I61" s="7">
        <v>115</v>
      </c>
    </row>
    <row r="62" spans="1:9" hidden="1" x14ac:dyDescent="0.2">
      <c r="A62" s="3" t="s">
        <v>29</v>
      </c>
      <c r="B62" s="3" t="s">
        <v>41</v>
      </c>
      <c r="C62" s="3" t="s">
        <v>117</v>
      </c>
      <c r="D62" s="3" t="s">
        <v>125</v>
      </c>
      <c r="E62" s="3" t="s">
        <v>9</v>
      </c>
      <c r="F62" s="3">
        <v>95991</v>
      </c>
      <c r="G62" s="8">
        <v>45255</v>
      </c>
      <c r="H62" s="3">
        <v>4</v>
      </c>
      <c r="I62" s="7">
        <v>200</v>
      </c>
    </row>
    <row r="63" spans="1:9" hidden="1" x14ac:dyDescent="0.2">
      <c r="A63" s="3" t="s">
        <v>21</v>
      </c>
      <c r="B63" s="3" t="s">
        <v>35</v>
      </c>
      <c r="C63" s="3" t="s">
        <v>166</v>
      </c>
      <c r="D63" s="3" t="s">
        <v>125</v>
      </c>
      <c r="E63" s="3" t="s">
        <v>9</v>
      </c>
      <c r="F63" s="3">
        <v>95992</v>
      </c>
      <c r="G63" s="8">
        <v>45268</v>
      </c>
      <c r="H63" s="3">
        <v>12</v>
      </c>
      <c r="I63" s="7">
        <v>65</v>
      </c>
    </row>
    <row r="64" spans="1:9" x14ac:dyDescent="0.2">
      <c r="A64" s="3" t="s">
        <v>154</v>
      </c>
      <c r="B64" s="3" t="s">
        <v>155</v>
      </c>
      <c r="C64" s="3" t="s">
        <v>156</v>
      </c>
      <c r="D64" s="3" t="s">
        <v>125</v>
      </c>
      <c r="E64" s="3" t="s">
        <v>9</v>
      </c>
      <c r="F64" s="3">
        <v>95992</v>
      </c>
      <c r="G64" s="8">
        <v>44977</v>
      </c>
      <c r="H64" s="3">
        <v>12</v>
      </c>
      <c r="I64" s="7">
        <v>176</v>
      </c>
    </row>
    <row r="65" spans="1:9" hidden="1" x14ac:dyDescent="0.2">
      <c r="A65" s="3" t="s">
        <v>49</v>
      </c>
      <c r="B65" s="3" t="s">
        <v>61</v>
      </c>
      <c r="C65" s="3" t="s">
        <v>102</v>
      </c>
      <c r="D65" s="3" t="s">
        <v>125</v>
      </c>
      <c r="E65" s="3" t="s">
        <v>9</v>
      </c>
      <c r="F65" s="3">
        <v>95992</v>
      </c>
      <c r="G65" s="8">
        <v>45192</v>
      </c>
      <c r="H65" s="3">
        <v>14</v>
      </c>
      <c r="I65" s="7">
        <v>183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91BB-4FAE-4D8F-A50C-A66E6C518EBF}">
  <sheetPr filterMode="1"/>
  <dimension ref="A1:I69"/>
  <sheetViews>
    <sheetView tabSelected="1" zoomScale="120" zoomScaleNormal="120" workbookViewId="0">
      <selection activeCell="A5" sqref="A5:I53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163</v>
      </c>
      <c r="H1" s="12" t="s">
        <v>164</v>
      </c>
      <c r="I1" s="14" t="s">
        <v>165</v>
      </c>
    </row>
    <row r="2" spans="1:9" x14ac:dyDescent="0.2">
      <c r="D2" s="3" t="s">
        <v>8</v>
      </c>
      <c r="H2" s="3" t="s">
        <v>168</v>
      </c>
      <c r="I2" s="3" t="s">
        <v>169</v>
      </c>
    </row>
    <row r="3" spans="1:9" x14ac:dyDescent="0.2">
      <c r="D3" s="3" t="s">
        <v>8</v>
      </c>
      <c r="H3" s="3" t="s">
        <v>170</v>
      </c>
      <c r="I3" s="3" t="s">
        <v>171</v>
      </c>
    </row>
    <row r="5" spans="1:9" s="4" customFormat="1" x14ac:dyDescent="0.2">
      <c r="A5" s="11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3" t="s">
        <v>163</v>
      </c>
      <c r="H5" s="12" t="s">
        <v>164</v>
      </c>
      <c r="I5" s="14" t="s">
        <v>165</v>
      </c>
    </row>
    <row r="6" spans="1:9" x14ac:dyDescent="0.2">
      <c r="A6" s="15" t="s">
        <v>65</v>
      </c>
      <c r="B6" s="16" t="s">
        <v>77</v>
      </c>
      <c r="C6" s="16" t="s">
        <v>106</v>
      </c>
      <c r="D6" s="16" t="s">
        <v>8</v>
      </c>
      <c r="E6" s="16" t="s">
        <v>9</v>
      </c>
      <c r="F6" s="16">
        <v>95650</v>
      </c>
      <c r="G6" s="17">
        <v>45193</v>
      </c>
      <c r="H6" s="16">
        <v>7</v>
      </c>
      <c r="I6" s="18">
        <v>42</v>
      </c>
    </row>
    <row r="7" spans="1:9" hidden="1" x14ac:dyDescent="0.2">
      <c r="A7" s="15" t="s">
        <v>130</v>
      </c>
      <c r="B7" s="16" t="s">
        <v>77</v>
      </c>
      <c r="C7" s="16" t="s">
        <v>106</v>
      </c>
      <c r="D7" s="16" t="s">
        <v>8</v>
      </c>
      <c r="E7" s="16" t="s">
        <v>9</v>
      </c>
      <c r="F7" s="16">
        <v>95650</v>
      </c>
      <c r="G7" s="17">
        <v>45148</v>
      </c>
      <c r="H7" s="16">
        <v>6</v>
      </c>
      <c r="I7" s="18">
        <v>208</v>
      </c>
    </row>
    <row r="8" spans="1:9" hidden="1" x14ac:dyDescent="0.2">
      <c r="A8" s="15" t="s">
        <v>126</v>
      </c>
      <c r="B8" s="16" t="s">
        <v>127</v>
      </c>
      <c r="C8" s="16" t="s">
        <v>103</v>
      </c>
      <c r="D8" s="16" t="s">
        <v>125</v>
      </c>
      <c r="E8" s="16" t="s">
        <v>9</v>
      </c>
      <c r="F8" s="16">
        <v>95991</v>
      </c>
      <c r="G8" s="17">
        <v>45232</v>
      </c>
      <c r="H8" s="16">
        <v>14</v>
      </c>
      <c r="I8" s="18">
        <v>16</v>
      </c>
    </row>
    <row r="9" spans="1:9" hidden="1" x14ac:dyDescent="0.2">
      <c r="A9" s="15" t="s">
        <v>131</v>
      </c>
      <c r="B9" s="16" t="s">
        <v>132</v>
      </c>
      <c r="C9" s="16" t="s">
        <v>134</v>
      </c>
      <c r="D9" s="16" t="s">
        <v>99</v>
      </c>
      <c r="E9" s="16" t="s">
        <v>9</v>
      </c>
      <c r="F9" s="16">
        <v>95701</v>
      </c>
      <c r="G9" s="17">
        <v>45069</v>
      </c>
      <c r="H9" s="16">
        <v>16</v>
      </c>
      <c r="I9" s="18">
        <v>208</v>
      </c>
    </row>
    <row r="10" spans="1:9" hidden="1" x14ac:dyDescent="0.2">
      <c r="A10" s="15" t="s">
        <v>36</v>
      </c>
      <c r="B10" s="16" t="s">
        <v>48</v>
      </c>
      <c r="C10" s="16" t="s">
        <v>121</v>
      </c>
      <c r="D10" s="16" t="s">
        <v>125</v>
      </c>
      <c r="E10" s="16" t="s">
        <v>9</v>
      </c>
      <c r="F10" s="16">
        <v>95991</v>
      </c>
      <c r="G10" s="17">
        <v>44968</v>
      </c>
      <c r="H10" s="16">
        <v>7</v>
      </c>
      <c r="I10" s="18">
        <v>115</v>
      </c>
    </row>
    <row r="11" spans="1:9" hidden="1" x14ac:dyDescent="0.2">
      <c r="A11" s="15" t="s">
        <v>42</v>
      </c>
      <c r="B11" s="16" t="s">
        <v>162</v>
      </c>
      <c r="C11" s="16" t="s">
        <v>124</v>
      </c>
      <c r="D11" s="16" t="s">
        <v>54</v>
      </c>
      <c r="E11" s="16" t="s">
        <v>9</v>
      </c>
      <c r="F11" s="16">
        <v>95650</v>
      </c>
      <c r="G11" s="17">
        <v>44939</v>
      </c>
      <c r="H11" s="16">
        <v>13</v>
      </c>
      <c r="I11" s="18">
        <v>74</v>
      </c>
    </row>
    <row r="12" spans="1:9" hidden="1" x14ac:dyDescent="0.2">
      <c r="A12" s="15" t="s">
        <v>144</v>
      </c>
      <c r="B12" s="16" t="s">
        <v>145</v>
      </c>
      <c r="C12" s="16" t="s">
        <v>143</v>
      </c>
      <c r="D12" s="16" t="s">
        <v>8</v>
      </c>
      <c r="E12" s="16" t="s">
        <v>9</v>
      </c>
      <c r="F12" s="16">
        <v>95663</v>
      </c>
      <c r="G12" s="17">
        <v>45226</v>
      </c>
      <c r="H12" s="16">
        <v>8</v>
      </c>
      <c r="I12" s="18">
        <v>160</v>
      </c>
    </row>
    <row r="13" spans="1:9" hidden="1" x14ac:dyDescent="0.2">
      <c r="A13" s="15" t="s">
        <v>45</v>
      </c>
      <c r="B13" s="16" t="s">
        <v>151</v>
      </c>
      <c r="C13" s="16" t="s">
        <v>152</v>
      </c>
      <c r="D13" s="16" t="s">
        <v>28</v>
      </c>
      <c r="E13" s="16" t="s">
        <v>9</v>
      </c>
      <c r="F13" s="16">
        <v>95603</v>
      </c>
      <c r="G13" s="17">
        <v>44965</v>
      </c>
      <c r="H13" s="16">
        <v>16</v>
      </c>
      <c r="I13" s="18">
        <v>73</v>
      </c>
    </row>
    <row r="14" spans="1:9" hidden="1" x14ac:dyDescent="0.2">
      <c r="A14" s="15" t="s">
        <v>32</v>
      </c>
      <c r="B14" s="16" t="s">
        <v>44</v>
      </c>
      <c r="C14" s="16" t="s">
        <v>119</v>
      </c>
      <c r="D14" s="16" t="s">
        <v>90</v>
      </c>
      <c r="E14" s="16" t="s">
        <v>9</v>
      </c>
      <c r="F14" s="16">
        <v>95648</v>
      </c>
      <c r="G14" s="17">
        <v>45103</v>
      </c>
      <c r="H14" s="16">
        <v>6</v>
      </c>
      <c r="I14" s="18">
        <v>171</v>
      </c>
    </row>
    <row r="15" spans="1:9" hidden="1" x14ac:dyDescent="0.2">
      <c r="A15" s="15" t="s">
        <v>57</v>
      </c>
      <c r="B15" s="16" t="s">
        <v>70</v>
      </c>
      <c r="C15" s="16" t="s">
        <v>71</v>
      </c>
      <c r="D15" s="16" t="s">
        <v>10</v>
      </c>
      <c r="E15" s="16" t="s">
        <v>9</v>
      </c>
      <c r="F15" s="16">
        <v>95677</v>
      </c>
      <c r="G15" s="17">
        <v>45030</v>
      </c>
      <c r="H15" s="16">
        <v>10</v>
      </c>
      <c r="I15" s="18">
        <v>174</v>
      </c>
    </row>
    <row r="16" spans="1:9" hidden="1" x14ac:dyDescent="0.2">
      <c r="A16" s="15" t="s">
        <v>29</v>
      </c>
      <c r="B16" s="16" t="s">
        <v>41</v>
      </c>
      <c r="C16" s="16" t="s">
        <v>117</v>
      </c>
      <c r="D16" s="16" t="s">
        <v>125</v>
      </c>
      <c r="E16" s="16" t="s">
        <v>9</v>
      </c>
      <c r="F16" s="16">
        <v>95991</v>
      </c>
      <c r="G16" s="17">
        <v>45255</v>
      </c>
      <c r="H16" s="16">
        <v>4</v>
      </c>
      <c r="I16" s="18">
        <v>200</v>
      </c>
    </row>
    <row r="17" spans="1:9" hidden="1" x14ac:dyDescent="0.2">
      <c r="A17" s="15" t="s">
        <v>82</v>
      </c>
      <c r="B17" s="16" t="s">
        <v>96</v>
      </c>
      <c r="C17" s="16" t="s">
        <v>133</v>
      </c>
      <c r="D17" s="16" t="s">
        <v>99</v>
      </c>
      <c r="E17" s="16" t="s">
        <v>9</v>
      </c>
      <c r="F17" s="16">
        <v>95701</v>
      </c>
      <c r="G17" s="17">
        <v>45051</v>
      </c>
      <c r="H17" s="16">
        <v>5</v>
      </c>
      <c r="I17" s="18">
        <v>46</v>
      </c>
    </row>
    <row r="18" spans="1:9" hidden="1" x14ac:dyDescent="0.2">
      <c r="A18" s="15" t="s">
        <v>43</v>
      </c>
      <c r="B18" s="16" t="s">
        <v>55</v>
      </c>
      <c r="C18" s="16" t="s">
        <v>101</v>
      </c>
      <c r="D18" s="16" t="s">
        <v>56</v>
      </c>
      <c r="E18" s="16" t="s">
        <v>9</v>
      </c>
      <c r="F18" s="16">
        <v>95658</v>
      </c>
      <c r="G18" s="17">
        <v>45000</v>
      </c>
      <c r="H18" s="16">
        <v>20</v>
      </c>
      <c r="I18" s="18">
        <v>56</v>
      </c>
    </row>
    <row r="19" spans="1:9" hidden="1" x14ac:dyDescent="0.2">
      <c r="A19" s="15" t="s">
        <v>84</v>
      </c>
      <c r="B19" s="16" t="s">
        <v>100</v>
      </c>
      <c r="C19" s="16" t="s">
        <v>153</v>
      </c>
      <c r="D19" s="16" t="s">
        <v>28</v>
      </c>
      <c r="E19" s="16" t="s">
        <v>9</v>
      </c>
      <c r="F19" s="16">
        <v>95603</v>
      </c>
      <c r="G19" s="17">
        <v>44933</v>
      </c>
      <c r="H19" s="16">
        <v>11</v>
      </c>
      <c r="I19" s="18">
        <v>19</v>
      </c>
    </row>
    <row r="20" spans="1:9" x14ac:dyDescent="0.2">
      <c r="A20" s="15" t="s">
        <v>142</v>
      </c>
      <c r="B20" s="16" t="s">
        <v>141</v>
      </c>
      <c r="C20" s="16" t="s">
        <v>105</v>
      </c>
      <c r="D20" s="16" t="s">
        <v>8</v>
      </c>
      <c r="E20" s="16" t="s">
        <v>9</v>
      </c>
      <c r="F20" s="16">
        <v>95677</v>
      </c>
      <c r="G20" s="17">
        <v>45213</v>
      </c>
      <c r="H20" s="16">
        <v>7</v>
      </c>
      <c r="I20" s="18">
        <v>64</v>
      </c>
    </row>
    <row r="21" spans="1:9" hidden="1" x14ac:dyDescent="0.2">
      <c r="A21" s="15" t="s">
        <v>49</v>
      </c>
      <c r="B21" s="16" t="s">
        <v>61</v>
      </c>
      <c r="C21" s="16" t="s">
        <v>102</v>
      </c>
      <c r="D21" s="16" t="s">
        <v>125</v>
      </c>
      <c r="E21" s="16" t="s">
        <v>9</v>
      </c>
      <c r="F21" s="16">
        <v>95992</v>
      </c>
      <c r="G21" s="17">
        <v>45192</v>
      </c>
      <c r="H21" s="16">
        <v>14</v>
      </c>
      <c r="I21" s="18">
        <v>183</v>
      </c>
    </row>
    <row r="22" spans="1:9" hidden="1" x14ac:dyDescent="0.2">
      <c r="A22" s="15" t="s">
        <v>157</v>
      </c>
      <c r="B22" s="16" t="s">
        <v>68</v>
      </c>
      <c r="C22" s="16" t="s">
        <v>108</v>
      </c>
      <c r="D22" s="16" t="s">
        <v>8</v>
      </c>
      <c r="E22" s="16" t="s">
        <v>9</v>
      </c>
      <c r="F22" s="16">
        <v>95663</v>
      </c>
      <c r="G22" s="17">
        <v>45132</v>
      </c>
      <c r="H22" s="16">
        <v>20</v>
      </c>
      <c r="I22" s="18">
        <v>166</v>
      </c>
    </row>
    <row r="23" spans="1:9" hidden="1" x14ac:dyDescent="0.2">
      <c r="A23" s="15" t="s">
        <v>158</v>
      </c>
      <c r="B23" s="16" t="s">
        <v>68</v>
      </c>
      <c r="C23" s="16" t="s">
        <v>108</v>
      </c>
      <c r="D23" s="16" t="s">
        <v>8</v>
      </c>
      <c r="E23" s="16" t="s">
        <v>9</v>
      </c>
      <c r="F23" s="16">
        <v>95663</v>
      </c>
      <c r="G23" s="17">
        <v>44943</v>
      </c>
      <c r="H23" s="16">
        <v>6</v>
      </c>
      <c r="I23" s="18">
        <v>142</v>
      </c>
    </row>
    <row r="24" spans="1:9" hidden="1" x14ac:dyDescent="0.2">
      <c r="A24" s="15" t="s">
        <v>87</v>
      </c>
      <c r="B24" s="16" t="s">
        <v>6</v>
      </c>
      <c r="C24" s="16" t="s">
        <v>7</v>
      </c>
      <c r="D24" s="16" t="s">
        <v>8</v>
      </c>
      <c r="E24" s="16" t="s">
        <v>9</v>
      </c>
      <c r="F24" s="16">
        <v>95663</v>
      </c>
      <c r="G24" s="17">
        <v>45072</v>
      </c>
      <c r="H24" s="16">
        <v>9</v>
      </c>
      <c r="I24" s="18">
        <v>163</v>
      </c>
    </row>
    <row r="25" spans="1:9" x14ac:dyDescent="0.2">
      <c r="A25" s="15" t="s">
        <v>40</v>
      </c>
      <c r="B25" s="16" t="s">
        <v>52</v>
      </c>
      <c r="C25" s="16" t="s">
        <v>123</v>
      </c>
      <c r="D25" s="16" t="s">
        <v>8</v>
      </c>
      <c r="E25" s="16" t="s">
        <v>9</v>
      </c>
      <c r="F25" s="16">
        <v>95663</v>
      </c>
      <c r="G25" s="17">
        <v>45258</v>
      </c>
      <c r="H25" s="16">
        <v>13</v>
      </c>
      <c r="I25" s="18">
        <v>42</v>
      </c>
    </row>
    <row r="26" spans="1:9" hidden="1" x14ac:dyDescent="0.2">
      <c r="A26" s="15" t="s">
        <v>17</v>
      </c>
      <c r="B26" s="16" t="s">
        <v>27</v>
      </c>
      <c r="C26" s="16" t="s">
        <v>112</v>
      </c>
      <c r="D26" s="16" t="s">
        <v>28</v>
      </c>
      <c r="E26" s="16" t="s">
        <v>9</v>
      </c>
      <c r="F26" s="16">
        <v>95604</v>
      </c>
      <c r="G26" s="17">
        <v>45118</v>
      </c>
      <c r="H26" s="16">
        <v>8</v>
      </c>
      <c r="I26" s="18">
        <v>176</v>
      </c>
    </row>
    <row r="27" spans="1:9" hidden="1" x14ac:dyDescent="0.2">
      <c r="A27" s="15" t="s">
        <v>18</v>
      </c>
      <c r="B27" s="16" t="s">
        <v>31</v>
      </c>
      <c r="C27" s="16" t="s">
        <v>113</v>
      </c>
      <c r="D27" s="16" t="s">
        <v>99</v>
      </c>
      <c r="E27" s="16" t="s">
        <v>9</v>
      </c>
      <c r="F27" s="16">
        <v>95701</v>
      </c>
      <c r="G27" s="17">
        <v>45281</v>
      </c>
      <c r="H27" s="16">
        <v>7</v>
      </c>
      <c r="I27" s="18">
        <v>147</v>
      </c>
    </row>
    <row r="28" spans="1:9" hidden="1" x14ac:dyDescent="0.2">
      <c r="A28" s="15" t="s">
        <v>23</v>
      </c>
      <c r="B28" s="16" t="s">
        <v>37</v>
      </c>
      <c r="C28" s="16" t="s">
        <v>115</v>
      </c>
      <c r="D28" s="16" t="s">
        <v>90</v>
      </c>
      <c r="E28" s="16" t="s">
        <v>9</v>
      </c>
      <c r="F28" s="16">
        <v>95648</v>
      </c>
      <c r="G28" s="17">
        <v>45281</v>
      </c>
      <c r="H28" s="16">
        <v>5</v>
      </c>
      <c r="I28" s="18">
        <v>17</v>
      </c>
    </row>
    <row r="29" spans="1:9" x14ac:dyDescent="0.2">
      <c r="A29" s="15" t="s">
        <v>62</v>
      </c>
      <c r="B29" s="16" t="s">
        <v>75</v>
      </c>
      <c r="C29" s="16" t="s">
        <v>76</v>
      </c>
      <c r="D29" s="16" t="s">
        <v>8</v>
      </c>
      <c r="E29" s="16" t="s">
        <v>9</v>
      </c>
      <c r="F29" s="16">
        <v>95765</v>
      </c>
      <c r="G29" s="17">
        <v>44944</v>
      </c>
      <c r="H29" s="16">
        <v>4</v>
      </c>
      <c r="I29" s="18">
        <v>179</v>
      </c>
    </row>
    <row r="30" spans="1:9" hidden="1" x14ac:dyDescent="0.2">
      <c r="A30" s="15" t="s">
        <v>147</v>
      </c>
      <c r="B30" s="16" t="s">
        <v>59</v>
      </c>
      <c r="C30" s="16" t="s">
        <v>146</v>
      </c>
      <c r="D30" s="16" t="s">
        <v>28</v>
      </c>
      <c r="E30" s="16" t="s">
        <v>9</v>
      </c>
      <c r="F30" s="16">
        <v>95604</v>
      </c>
      <c r="G30" s="17">
        <v>45227</v>
      </c>
      <c r="H30" s="16">
        <v>16</v>
      </c>
      <c r="I30" s="18">
        <v>139</v>
      </c>
    </row>
    <row r="31" spans="1:9" hidden="1" x14ac:dyDescent="0.2">
      <c r="A31" s="15" t="s">
        <v>47</v>
      </c>
      <c r="B31" s="16" t="s">
        <v>59</v>
      </c>
      <c r="C31" s="16" t="s">
        <v>146</v>
      </c>
      <c r="D31" s="16" t="s">
        <v>28</v>
      </c>
      <c r="E31" s="16" t="s">
        <v>9</v>
      </c>
      <c r="F31" s="16">
        <v>95604</v>
      </c>
      <c r="G31" s="17">
        <v>45091</v>
      </c>
      <c r="H31" s="16">
        <v>14</v>
      </c>
      <c r="I31" s="18">
        <v>48</v>
      </c>
    </row>
    <row r="32" spans="1:9" hidden="1" x14ac:dyDescent="0.2">
      <c r="A32" s="15" t="s">
        <v>13</v>
      </c>
      <c r="B32" s="16" t="s">
        <v>20</v>
      </c>
      <c r="C32" s="16" t="s">
        <v>110</v>
      </c>
      <c r="D32" s="16" t="s">
        <v>8</v>
      </c>
      <c r="E32" s="16" t="s">
        <v>9</v>
      </c>
      <c r="F32" s="16">
        <v>95650</v>
      </c>
      <c r="G32" s="17">
        <v>45068</v>
      </c>
      <c r="H32" s="16">
        <v>19</v>
      </c>
      <c r="I32" s="18">
        <v>139</v>
      </c>
    </row>
    <row r="33" spans="1:9" hidden="1" x14ac:dyDescent="0.2">
      <c r="A33" s="15" t="s">
        <v>21</v>
      </c>
      <c r="B33" s="16" t="s">
        <v>35</v>
      </c>
      <c r="C33" s="16" t="s">
        <v>166</v>
      </c>
      <c r="D33" s="16" t="s">
        <v>125</v>
      </c>
      <c r="E33" s="16" t="s">
        <v>9</v>
      </c>
      <c r="F33" s="16">
        <v>95992</v>
      </c>
      <c r="G33" s="17">
        <v>45268</v>
      </c>
      <c r="H33" s="16">
        <v>12</v>
      </c>
      <c r="I33" s="18">
        <v>65</v>
      </c>
    </row>
    <row r="34" spans="1:9" hidden="1" x14ac:dyDescent="0.2">
      <c r="A34" s="15" t="s">
        <v>19</v>
      </c>
      <c r="B34" s="16" t="s">
        <v>33</v>
      </c>
      <c r="C34" s="16" t="s">
        <v>114</v>
      </c>
      <c r="D34" s="16" t="s">
        <v>90</v>
      </c>
      <c r="E34" s="16" t="s">
        <v>9</v>
      </c>
      <c r="F34" s="16">
        <v>95648</v>
      </c>
      <c r="G34" s="17">
        <v>45043</v>
      </c>
      <c r="H34" s="16">
        <v>6</v>
      </c>
      <c r="I34" s="18">
        <v>31</v>
      </c>
    </row>
    <row r="35" spans="1:9" hidden="1" x14ac:dyDescent="0.2">
      <c r="A35" s="15" t="s">
        <v>26</v>
      </c>
      <c r="B35" s="16" t="s">
        <v>39</v>
      </c>
      <c r="C35" s="16" t="s">
        <v>116</v>
      </c>
      <c r="D35" s="16" t="s">
        <v>90</v>
      </c>
      <c r="E35" s="16" t="s">
        <v>9</v>
      </c>
      <c r="F35" s="16">
        <v>95765</v>
      </c>
      <c r="G35" s="17">
        <v>45072</v>
      </c>
      <c r="H35" s="16">
        <v>17</v>
      </c>
      <c r="I35" s="18">
        <v>25</v>
      </c>
    </row>
    <row r="36" spans="1:9" hidden="1" x14ac:dyDescent="0.2">
      <c r="A36" s="15" t="s">
        <v>159</v>
      </c>
      <c r="B36" s="16" t="s">
        <v>94</v>
      </c>
      <c r="C36" s="16" t="s">
        <v>95</v>
      </c>
      <c r="D36" s="16" t="s">
        <v>28</v>
      </c>
      <c r="E36" s="16" t="s">
        <v>9</v>
      </c>
      <c r="F36" s="16">
        <v>95603</v>
      </c>
      <c r="G36" s="17">
        <v>45022</v>
      </c>
      <c r="H36" s="16">
        <v>11</v>
      </c>
      <c r="I36" s="18">
        <v>49</v>
      </c>
    </row>
    <row r="37" spans="1:9" hidden="1" x14ac:dyDescent="0.2">
      <c r="A37" s="15" t="s">
        <v>80</v>
      </c>
      <c r="B37" s="16" t="s">
        <v>94</v>
      </c>
      <c r="C37" s="16" t="s">
        <v>95</v>
      </c>
      <c r="D37" s="16" t="s">
        <v>28</v>
      </c>
      <c r="E37" s="16" t="s">
        <v>9</v>
      </c>
      <c r="F37" s="16">
        <v>95603</v>
      </c>
      <c r="G37" s="17">
        <v>45057</v>
      </c>
      <c r="H37" s="16">
        <v>7</v>
      </c>
      <c r="I37" s="18">
        <v>112</v>
      </c>
    </row>
    <row r="38" spans="1:9" hidden="1" x14ac:dyDescent="0.2">
      <c r="A38" s="15" t="s">
        <v>74</v>
      </c>
      <c r="B38" s="16" t="s">
        <v>85</v>
      </c>
      <c r="C38" s="16" t="s">
        <v>86</v>
      </c>
      <c r="D38" s="16" t="s">
        <v>10</v>
      </c>
      <c r="E38" s="16" t="s">
        <v>9</v>
      </c>
      <c r="F38" s="16">
        <v>95765</v>
      </c>
      <c r="G38" s="17">
        <v>45251</v>
      </c>
      <c r="H38" s="16">
        <v>19</v>
      </c>
      <c r="I38" s="18">
        <v>104</v>
      </c>
    </row>
    <row r="39" spans="1:9" hidden="1" x14ac:dyDescent="0.2">
      <c r="A39" s="15" t="s">
        <v>161</v>
      </c>
      <c r="B39" s="16" t="s">
        <v>88</v>
      </c>
      <c r="C39" s="16" t="s">
        <v>89</v>
      </c>
      <c r="D39" s="16" t="s">
        <v>90</v>
      </c>
      <c r="E39" s="16" t="s">
        <v>9</v>
      </c>
      <c r="F39" s="16">
        <v>95765</v>
      </c>
      <c r="G39" s="17">
        <v>44959</v>
      </c>
      <c r="H39" s="16">
        <v>14</v>
      </c>
      <c r="I39" s="18">
        <v>87</v>
      </c>
    </row>
    <row r="40" spans="1:9" hidden="1" x14ac:dyDescent="0.2">
      <c r="A40" s="15" t="s">
        <v>160</v>
      </c>
      <c r="B40" s="16" t="s">
        <v>88</v>
      </c>
      <c r="C40" s="16" t="s">
        <v>89</v>
      </c>
      <c r="D40" s="16" t="s">
        <v>90</v>
      </c>
      <c r="E40" s="16" t="s">
        <v>9</v>
      </c>
      <c r="F40" s="16">
        <v>95765</v>
      </c>
      <c r="G40" s="17">
        <v>45139</v>
      </c>
      <c r="H40" s="16">
        <v>11</v>
      </c>
      <c r="I40" s="18">
        <v>199</v>
      </c>
    </row>
    <row r="41" spans="1:9" hidden="1" x14ac:dyDescent="0.2">
      <c r="A41" s="15" t="s">
        <v>83</v>
      </c>
      <c r="B41" s="16" t="s">
        <v>97</v>
      </c>
      <c r="C41" s="16" t="s">
        <v>98</v>
      </c>
      <c r="D41" s="16" t="s">
        <v>99</v>
      </c>
      <c r="E41" s="16" t="s">
        <v>9</v>
      </c>
      <c r="F41" s="16">
        <v>95701</v>
      </c>
      <c r="G41" s="17">
        <v>45035</v>
      </c>
      <c r="H41" s="16">
        <v>3</v>
      </c>
      <c r="I41" s="18">
        <v>209</v>
      </c>
    </row>
    <row r="42" spans="1:9" hidden="1" x14ac:dyDescent="0.2">
      <c r="A42" s="15" t="s">
        <v>15</v>
      </c>
      <c r="B42" s="16" t="s">
        <v>24</v>
      </c>
      <c r="C42" s="16" t="s">
        <v>25</v>
      </c>
      <c r="D42" s="16" t="s">
        <v>10</v>
      </c>
      <c r="E42" s="16" t="s">
        <v>9</v>
      </c>
      <c r="F42" s="16">
        <v>95677</v>
      </c>
      <c r="G42" s="17">
        <v>45010</v>
      </c>
      <c r="H42" s="16">
        <v>5</v>
      </c>
      <c r="I42" s="18">
        <v>59</v>
      </c>
    </row>
    <row r="43" spans="1:9" hidden="1" x14ac:dyDescent="0.2">
      <c r="A43" s="15" t="s">
        <v>68</v>
      </c>
      <c r="B43" s="16" t="s">
        <v>79</v>
      </c>
      <c r="C43" s="16" t="s">
        <v>107</v>
      </c>
      <c r="D43" s="16" t="s">
        <v>8</v>
      </c>
      <c r="E43" s="16" t="s">
        <v>9</v>
      </c>
      <c r="F43" s="16">
        <v>95663</v>
      </c>
      <c r="G43" s="17">
        <v>45116</v>
      </c>
      <c r="H43" s="16">
        <v>6</v>
      </c>
      <c r="I43" s="18">
        <v>144</v>
      </c>
    </row>
    <row r="44" spans="1:9" hidden="1" x14ac:dyDescent="0.2">
      <c r="A44" s="15" t="s">
        <v>154</v>
      </c>
      <c r="B44" s="16" t="s">
        <v>155</v>
      </c>
      <c r="C44" s="16" t="s">
        <v>156</v>
      </c>
      <c r="D44" s="16" t="s">
        <v>125</v>
      </c>
      <c r="E44" s="16" t="s">
        <v>9</v>
      </c>
      <c r="F44" s="16">
        <v>95992</v>
      </c>
      <c r="G44" s="17">
        <v>44977</v>
      </c>
      <c r="H44" s="16">
        <v>12</v>
      </c>
      <c r="I44" s="18">
        <v>176</v>
      </c>
    </row>
    <row r="45" spans="1:9" hidden="1" x14ac:dyDescent="0.2">
      <c r="A45" s="15" t="s">
        <v>51</v>
      </c>
      <c r="B45" s="16" t="s">
        <v>63</v>
      </c>
      <c r="C45" s="16" t="s">
        <v>64</v>
      </c>
      <c r="D45" s="16" t="s">
        <v>125</v>
      </c>
      <c r="E45" s="16" t="s">
        <v>9</v>
      </c>
      <c r="F45" s="16">
        <v>95991</v>
      </c>
      <c r="G45" s="17">
        <v>45223</v>
      </c>
      <c r="H45" s="16">
        <v>18</v>
      </c>
      <c r="I45" s="18">
        <v>15</v>
      </c>
    </row>
    <row r="46" spans="1:9" hidden="1" x14ac:dyDescent="0.2">
      <c r="A46" s="15" t="s">
        <v>38</v>
      </c>
      <c r="B46" s="16" t="s">
        <v>50</v>
      </c>
      <c r="C46" s="16" t="s">
        <v>122</v>
      </c>
      <c r="D46" s="16" t="s">
        <v>56</v>
      </c>
      <c r="E46" s="16" t="s">
        <v>9</v>
      </c>
      <c r="F46" s="16">
        <v>95658</v>
      </c>
      <c r="G46" s="17">
        <v>45148</v>
      </c>
      <c r="H46" s="16">
        <v>1</v>
      </c>
      <c r="I46" s="18">
        <v>198</v>
      </c>
    </row>
    <row r="47" spans="1:9" x14ac:dyDescent="0.2">
      <c r="A47" s="15" t="s">
        <v>60</v>
      </c>
      <c r="B47" s="16" t="s">
        <v>72</v>
      </c>
      <c r="C47" s="16" t="s">
        <v>73</v>
      </c>
      <c r="D47" s="16" t="s">
        <v>8</v>
      </c>
      <c r="E47" s="16" t="s">
        <v>9</v>
      </c>
      <c r="F47" s="16">
        <v>95650</v>
      </c>
      <c r="G47" s="17">
        <v>45238</v>
      </c>
      <c r="H47" s="16">
        <v>20</v>
      </c>
      <c r="I47" s="18">
        <v>74</v>
      </c>
    </row>
    <row r="48" spans="1:9" hidden="1" x14ac:dyDescent="0.2">
      <c r="A48" s="15" t="s">
        <v>140</v>
      </c>
      <c r="B48" s="16" t="s">
        <v>11</v>
      </c>
      <c r="C48" s="16" t="s">
        <v>81</v>
      </c>
      <c r="D48" s="16" t="s">
        <v>8</v>
      </c>
      <c r="E48" s="16" t="s">
        <v>9</v>
      </c>
      <c r="F48" s="16">
        <v>95663</v>
      </c>
      <c r="G48" s="17">
        <v>45281</v>
      </c>
      <c r="H48" s="16">
        <v>8</v>
      </c>
      <c r="I48" s="18">
        <v>151</v>
      </c>
    </row>
    <row r="49" spans="1:9" hidden="1" x14ac:dyDescent="0.2">
      <c r="A49" s="15" t="s">
        <v>148</v>
      </c>
      <c r="B49" s="16" t="s">
        <v>11</v>
      </c>
      <c r="C49" s="16" t="s">
        <v>81</v>
      </c>
      <c r="D49" s="16" t="s">
        <v>8</v>
      </c>
      <c r="E49" s="16" t="s">
        <v>9</v>
      </c>
      <c r="F49" s="16">
        <v>95663</v>
      </c>
      <c r="G49" s="17">
        <v>44962</v>
      </c>
      <c r="H49" s="16">
        <v>15</v>
      </c>
      <c r="I49" s="18">
        <v>111</v>
      </c>
    </row>
    <row r="50" spans="1:9" x14ac:dyDescent="0.2">
      <c r="A50" s="15" t="s">
        <v>30</v>
      </c>
      <c r="B50" s="16" t="s">
        <v>11</v>
      </c>
      <c r="C50" s="16" t="s">
        <v>118</v>
      </c>
      <c r="D50" s="16" t="s">
        <v>8</v>
      </c>
      <c r="E50" s="16" t="s">
        <v>9</v>
      </c>
      <c r="F50" s="16">
        <v>95677</v>
      </c>
      <c r="G50" s="17">
        <v>45265</v>
      </c>
      <c r="H50" s="16">
        <v>19</v>
      </c>
      <c r="I50" s="18">
        <v>11</v>
      </c>
    </row>
    <row r="51" spans="1:9" x14ac:dyDescent="0.2">
      <c r="A51" s="15" t="s">
        <v>150</v>
      </c>
      <c r="B51" s="16" t="s">
        <v>11</v>
      </c>
      <c r="C51" s="16" t="s">
        <v>81</v>
      </c>
      <c r="D51" s="16" t="s">
        <v>8</v>
      </c>
      <c r="E51" s="16" t="s">
        <v>9</v>
      </c>
      <c r="F51" s="16">
        <v>95663</v>
      </c>
      <c r="G51" s="17">
        <v>45032</v>
      </c>
      <c r="H51" s="16">
        <v>19</v>
      </c>
      <c r="I51" s="18">
        <v>26</v>
      </c>
    </row>
    <row r="52" spans="1:9" hidden="1" x14ac:dyDescent="0.2">
      <c r="A52" s="15" t="s">
        <v>12</v>
      </c>
      <c r="B52" s="16" t="s">
        <v>69</v>
      </c>
      <c r="C52" s="16" t="s">
        <v>104</v>
      </c>
      <c r="D52" s="16" t="s">
        <v>8</v>
      </c>
      <c r="E52" s="16" t="s">
        <v>9</v>
      </c>
      <c r="F52" s="16">
        <v>95677</v>
      </c>
      <c r="G52" s="17">
        <v>45032</v>
      </c>
      <c r="H52" s="16">
        <v>11</v>
      </c>
      <c r="I52" s="18">
        <v>175</v>
      </c>
    </row>
    <row r="53" spans="1:9" x14ac:dyDescent="0.2">
      <c r="A53" s="15" t="s">
        <v>135</v>
      </c>
      <c r="B53" s="16" t="s">
        <v>69</v>
      </c>
      <c r="C53" s="16" t="s">
        <v>104</v>
      </c>
      <c r="D53" s="16" t="s">
        <v>8</v>
      </c>
      <c r="E53" s="16" t="s">
        <v>9</v>
      </c>
      <c r="F53" s="16">
        <v>95677</v>
      </c>
      <c r="G53" s="17">
        <v>45082</v>
      </c>
      <c r="H53" s="16">
        <v>11</v>
      </c>
      <c r="I53" s="18">
        <v>38</v>
      </c>
    </row>
    <row r="54" spans="1:9" hidden="1" x14ac:dyDescent="0.2">
      <c r="A54" s="15" t="s">
        <v>128</v>
      </c>
      <c r="B54" s="16" t="s">
        <v>129</v>
      </c>
      <c r="C54" s="16" t="s">
        <v>109</v>
      </c>
      <c r="D54" s="16" t="s">
        <v>10</v>
      </c>
      <c r="E54" s="16" t="s">
        <v>9</v>
      </c>
      <c r="F54" s="16">
        <v>95765</v>
      </c>
      <c r="G54" s="17">
        <v>45208</v>
      </c>
      <c r="H54" s="16">
        <v>7</v>
      </c>
      <c r="I54" s="18">
        <v>115</v>
      </c>
    </row>
    <row r="55" spans="1:9" hidden="1" x14ac:dyDescent="0.2">
      <c r="A55" s="15" t="s">
        <v>137</v>
      </c>
      <c r="B55" s="16" t="s">
        <v>138</v>
      </c>
      <c r="C55" s="16" t="s">
        <v>136</v>
      </c>
      <c r="D55" s="16" t="s">
        <v>10</v>
      </c>
      <c r="E55" s="16" t="s">
        <v>9</v>
      </c>
      <c r="F55" s="16">
        <v>95678</v>
      </c>
      <c r="G55" s="17">
        <v>44943</v>
      </c>
      <c r="H55" s="16">
        <v>18</v>
      </c>
      <c r="I55" s="18">
        <v>196</v>
      </c>
    </row>
    <row r="56" spans="1:9" hidden="1" x14ac:dyDescent="0.2">
      <c r="A56" s="15" t="s">
        <v>16</v>
      </c>
      <c r="B56" s="16" t="s">
        <v>149</v>
      </c>
      <c r="C56" s="16" t="s">
        <v>112</v>
      </c>
      <c r="D56" s="16" t="s">
        <v>28</v>
      </c>
      <c r="E56" s="16" t="s">
        <v>9</v>
      </c>
      <c r="F56" s="16">
        <v>95604</v>
      </c>
      <c r="G56" s="17">
        <v>44990</v>
      </c>
      <c r="H56" s="16">
        <v>4</v>
      </c>
      <c r="I56" s="18">
        <v>86</v>
      </c>
    </row>
    <row r="57" spans="1:9" hidden="1" x14ac:dyDescent="0.2">
      <c r="A57" s="15" t="s">
        <v>53</v>
      </c>
      <c r="B57" s="16" t="s">
        <v>66</v>
      </c>
      <c r="C57" s="16" t="s">
        <v>67</v>
      </c>
      <c r="D57" s="16" t="s">
        <v>10</v>
      </c>
      <c r="E57" s="16" t="s">
        <v>9</v>
      </c>
      <c r="F57" s="16">
        <v>95678</v>
      </c>
      <c r="G57" s="17">
        <v>44945</v>
      </c>
      <c r="H57" s="16">
        <v>8</v>
      </c>
      <c r="I57" s="18">
        <v>99</v>
      </c>
    </row>
    <row r="58" spans="1:9" hidden="1" x14ac:dyDescent="0.2">
      <c r="A58" s="15" t="s">
        <v>58</v>
      </c>
      <c r="B58" s="16" t="s">
        <v>139</v>
      </c>
      <c r="C58" s="16" t="s">
        <v>105</v>
      </c>
      <c r="D58" s="16" t="s">
        <v>8</v>
      </c>
      <c r="E58" s="16" t="s">
        <v>9</v>
      </c>
      <c r="F58" s="16">
        <v>95677</v>
      </c>
      <c r="G58" s="17">
        <v>45068</v>
      </c>
      <c r="H58" s="16">
        <v>11</v>
      </c>
      <c r="I58" s="18">
        <v>206</v>
      </c>
    </row>
    <row r="59" spans="1:9" hidden="1" x14ac:dyDescent="0.2">
      <c r="A59" s="15" t="s">
        <v>14</v>
      </c>
      <c r="B59" s="16" t="s">
        <v>22</v>
      </c>
      <c r="C59" s="16" t="s">
        <v>111</v>
      </c>
      <c r="D59" s="16" t="s">
        <v>10</v>
      </c>
      <c r="E59" s="16" t="s">
        <v>9</v>
      </c>
      <c r="F59" s="16">
        <v>95661</v>
      </c>
      <c r="G59" s="17">
        <v>45216</v>
      </c>
      <c r="H59" s="16">
        <v>12</v>
      </c>
      <c r="I59" s="18">
        <v>89</v>
      </c>
    </row>
    <row r="60" spans="1:9" hidden="1" x14ac:dyDescent="0.2">
      <c r="A60" s="15" t="s">
        <v>34</v>
      </c>
      <c r="B60" s="16" t="s">
        <v>46</v>
      </c>
      <c r="C60" s="16" t="s">
        <v>120</v>
      </c>
      <c r="D60" s="16" t="s">
        <v>93</v>
      </c>
      <c r="E60" s="16" t="s">
        <v>9</v>
      </c>
      <c r="F60" s="16">
        <v>95713</v>
      </c>
      <c r="G60" s="17">
        <v>44946</v>
      </c>
      <c r="H60" s="16">
        <v>17</v>
      </c>
      <c r="I60" s="18">
        <v>197</v>
      </c>
    </row>
    <row r="61" spans="1:9" hidden="1" x14ac:dyDescent="0.2">
      <c r="A61" s="19" t="s">
        <v>78</v>
      </c>
      <c r="B61" s="20" t="s">
        <v>91</v>
      </c>
      <c r="C61" s="20" t="s">
        <v>92</v>
      </c>
      <c r="D61" s="20" t="s">
        <v>93</v>
      </c>
      <c r="E61" s="20" t="s">
        <v>9</v>
      </c>
      <c r="F61" s="20">
        <v>95713</v>
      </c>
      <c r="G61" s="21">
        <v>44962</v>
      </c>
      <c r="H61" s="20">
        <v>7</v>
      </c>
      <c r="I61" s="22">
        <v>106</v>
      </c>
    </row>
    <row r="62" spans="1:9" hidden="1" x14ac:dyDescent="0.2">
      <c r="A62"/>
      <c r="B62"/>
      <c r="C62"/>
      <c r="D62"/>
      <c r="E62"/>
      <c r="F62"/>
      <c r="G62"/>
      <c r="H62"/>
      <c r="I62"/>
    </row>
    <row r="63" spans="1:9" hidden="1" x14ac:dyDescent="0.2">
      <c r="A63"/>
      <c r="B63"/>
      <c r="C63"/>
      <c r="D63"/>
      <c r="E63"/>
      <c r="F63"/>
      <c r="G63"/>
      <c r="H63"/>
      <c r="I63"/>
    </row>
    <row r="64" spans="1:9" hidden="1" x14ac:dyDescent="0.2">
      <c r="A64"/>
      <c r="B64"/>
      <c r="C64"/>
      <c r="D64"/>
      <c r="E64"/>
      <c r="F64"/>
      <c r="G64"/>
      <c r="H64"/>
      <c r="I64"/>
    </row>
    <row r="65" spans="1:9" hidden="1" x14ac:dyDescent="0.2">
      <c r="A65"/>
      <c r="B65"/>
      <c r="C65"/>
      <c r="D65"/>
      <c r="E65"/>
      <c r="F65"/>
      <c r="G65"/>
      <c r="H65"/>
      <c r="I65"/>
    </row>
    <row r="66" spans="1:9" hidden="1" x14ac:dyDescent="0.2">
      <c r="A66"/>
      <c r="B66"/>
      <c r="C66"/>
      <c r="D66"/>
      <c r="E66"/>
      <c r="F66"/>
      <c r="G66"/>
      <c r="H66"/>
      <c r="I66"/>
    </row>
    <row r="67" spans="1:9" hidden="1" x14ac:dyDescent="0.2">
      <c r="A67"/>
      <c r="B67"/>
      <c r="C67"/>
      <c r="D67"/>
      <c r="E67"/>
      <c r="F67"/>
      <c r="G67"/>
      <c r="H67"/>
      <c r="I67"/>
    </row>
    <row r="68" spans="1:9" hidden="1" x14ac:dyDescent="0.2">
      <c r="A68"/>
      <c r="B68"/>
      <c r="C68"/>
      <c r="D68"/>
      <c r="E68"/>
      <c r="F68"/>
      <c r="G68"/>
      <c r="H68"/>
      <c r="I68"/>
    </row>
    <row r="69" spans="1:9" hidden="1" x14ac:dyDescent="0.2">
      <c r="A69"/>
      <c r="B69"/>
      <c r="C69"/>
      <c r="D69"/>
      <c r="E69"/>
      <c r="F69"/>
      <c r="G69"/>
      <c r="H69"/>
      <c r="I6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enna xmlns="http://customxml.org">
  <kers>Z8Co/uAtii3AsRmVKI4rrjL/C/YWZXVFP+u+j3f4Q0o=</kers>
  <massa>11/10/2025 12:07:52 PM</massa>
  <hamilton>true</hamilton>
</senna>
</file>

<file path=customXml/itemProps1.xml><?xml version="1.0" encoding="utf-8"?>
<ds:datastoreItem xmlns:ds="http://schemas.openxmlformats.org/officeDocument/2006/customXml" ds:itemID="{9C2C5280-E8AA-4CF7-9B78-F33F9A3225E8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Customer List</vt:lpstr>
      <vt:lpstr>Sales Analysis</vt:lpstr>
      <vt:lpstr>February Sales</vt:lpstr>
      <vt:lpstr>Custom Filter</vt:lpstr>
      <vt:lpstr>'Custom Filter'!Criteria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Naeco11</dc:creator>
  <cp:lastModifiedBy>Promise Beshel</cp:lastModifiedBy>
  <dcterms:created xsi:type="dcterms:W3CDTF">2008-06-23T21:32:38Z</dcterms:created>
  <dcterms:modified xsi:type="dcterms:W3CDTF">2025-11-10T16:44:12Z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[{"Key":"kers","Value":"Z8Co/uAtii3AsRmVKI4rrjL/C/YWZXVFP\u002Bu\u002Bj3f4Q0o="},{"Key":"massa","Value":"11/10/2025 12:07:52 PM"},{"Key":"hamilton","Value":"true"}]</vt:lpwstr>
  </property>
</Properties>
</file>