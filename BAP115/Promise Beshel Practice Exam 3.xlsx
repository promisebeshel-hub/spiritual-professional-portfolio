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YU ENSIGN\BAP115.001\"/>
    </mc:Choice>
  </mc:AlternateContent>
  <xr:revisionPtr revIDLastSave="0" documentId="8_{714AE43A-D9A9-4A4C-A3D4-FA7ACD365F5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art Instructions" sheetId="1" r:id="rId1"/>
    <sheet name="Project 1" sheetId="2" r:id="rId2"/>
    <sheet name="Project 2" sheetId="15" state="hidden" r:id="rId3"/>
    <sheet name="Project 3" sheetId="8" r:id="rId4"/>
    <sheet name="Project 4" sheetId="9" r:id="rId5"/>
    <sheet name="Project 5" sheetId="11" r:id="rId6"/>
    <sheet name="Project 6" sheetId="14" r:id="rId7"/>
    <sheet name="Project 7" sheetId="16" r:id="rId8"/>
    <sheet name="Lookup Tables" sheetId="7" r:id="rId9"/>
  </sheets>
  <definedNames>
    <definedName name="_xlnm._FilterDatabase" localSheetId="7" hidden="1">'Project 7'!$A$6:$K$285</definedName>
    <definedName name="Commission">" "</definedName>
    <definedName name="NewPrice" localSheetId="6">'Project 6'!$M$18</definedName>
    <definedName name="NewPrice">'Project 5'!$M$19</definedName>
  </definedNames>
  <calcPr calcId="191029" concurrentCalc="0"/>
  <fileRecoveryPr autoRecover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4" i="11" l="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13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M18" i="11"/>
  <c r="P19" i="7"/>
  <c r="O19" i="7"/>
  <c r="N19" i="7"/>
  <c r="P18" i="7"/>
  <c r="O18" i="7"/>
  <c r="N18" i="7"/>
  <c r="P17" i="7"/>
  <c r="O17" i="7"/>
  <c r="N17" i="7"/>
  <c r="P16" i="7"/>
  <c r="O16" i="7"/>
  <c r="N16" i="7"/>
  <c r="P15" i="7"/>
  <c r="O15" i="7"/>
  <c r="N15" i="7"/>
  <c r="P14" i="7"/>
  <c r="O14" i="7"/>
  <c r="N14" i="7"/>
  <c r="P13" i="7"/>
  <c r="O13" i="7"/>
  <c r="N13" i="7"/>
  <c r="P12" i="7"/>
  <c r="O12" i="7"/>
  <c r="N12" i="7"/>
  <c r="P11" i="7"/>
  <c r="O11" i="7"/>
  <c r="N11" i="7"/>
  <c r="P10" i="7"/>
  <c r="O10" i="7"/>
  <c r="N10" i="7"/>
  <c r="P9" i="7"/>
  <c r="O9" i="7"/>
  <c r="N9" i="7"/>
  <c r="P8" i="7"/>
  <c r="O8" i="7"/>
  <c r="N8" i="7"/>
  <c r="P7" i="7"/>
  <c r="O7" i="7"/>
  <c r="N7" i="7"/>
  <c r="G13" i="14"/>
  <c r="H13" i="14"/>
  <c r="I13" i="14"/>
  <c r="G14" i="14"/>
  <c r="H14" i="14"/>
  <c r="I14" i="14"/>
  <c r="G15" i="14"/>
  <c r="H15" i="14"/>
  <c r="I15" i="14"/>
  <c r="G16" i="14"/>
  <c r="H16" i="14"/>
  <c r="I16" i="14"/>
  <c r="G17" i="14"/>
  <c r="H17" i="14"/>
  <c r="I17" i="14"/>
  <c r="G18" i="14"/>
  <c r="H18" i="14"/>
  <c r="I18" i="14"/>
  <c r="G19" i="14"/>
  <c r="H19" i="14"/>
  <c r="I19" i="14"/>
  <c r="G20" i="14"/>
  <c r="H20" i="14"/>
  <c r="I20" i="14"/>
  <c r="G21" i="14"/>
  <c r="H21" i="14"/>
  <c r="I21" i="14"/>
  <c r="G22" i="14"/>
  <c r="H22" i="14"/>
  <c r="I22" i="14"/>
  <c r="G23" i="14"/>
  <c r="H23" i="14"/>
  <c r="I23" i="14"/>
  <c r="G24" i="14"/>
  <c r="H24" i="14"/>
  <c r="I24" i="14"/>
  <c r="G25" i="14"/>
  <c r="H25" i="14"/>
  <c r="I25" i="14"/>
  <c r="G26" i="14"/>
  <c r="H26" i="14"/>
  <c r="I26" i="14"/>
  <c r="G27" i="14"/>
  <c r="H27" i="14"/>
  <c r="I27" i="14"/>
  <c r="G28" i="14"/>
  <c r="H28" i="14"/>
  <c r="I28" i="14"/>
  <c r="G29" i="14"/>
  <c r="H29" i="14"/>
  <c r="I29" i="14"/>
  <c r="G30" i="14"/>
  <c r="H30" i="14"/>
  <c r="I30" i="14"/>
  <c r="G31" i="14"/>
  <c r="H31" i="14"/>
  <c r="I31" i="14"/>
  <c r="G32" i="14"/>
  <c r="H32" i="14"/>
  <c r="I32" i="14"/>
  <c r="G33" i="14"/>
  <c r="H33" i="14"/>
  <c r="I33" i="14"/>
  <c r="G34" i="14"/>
  <c r="H34" i="14"/>
  <c r="I34" i="14"/>
  <c r="G35" i="14"/>
  <c r="H35" i="14"/>
  <c r="I35" i="14"/>
  <c r="G36" i="14"/>
  <c r="H36" i="14"/>
  <c r="I36" i="14"/>
  <c r="G37" i="14"/>
  <c r="H37" i="14"/>
  <c r="I37" i="14"/>
  <c r="G38" i="14"/>
  <c r="H38" i="14"/>
  <c r="I38" i="14"/>
  <c r="G39" i="14"/>
  <c r="H39" i="14"/>
  <c r="I39" i="14"/>
  <c r="G40" i="14"/>
  <c r="H40" i="14"/>
  <c r="I40" i="14"/>
  <c r="G41" i="14"/>
  <c r="H41" i="14"/>
  <c r="I41" i="14"/>
  <c r="G42" i="14"/>
  <c r="H42" i="14"/>
  <c r="I42" i="14"/>
  <c r="G12" i="14"/>
  <c r="H12" i="14"/>
  <c r="I12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2" i="14"/>
  <c r="K13" i="14"/>
  <c r="K14" i="14"/>
  <c r="K15" i="14"/>
  <c r="K16" i="14"/>
  <c r="K17" i="14"/>
  <c r="M17" i="14"/>
  <c r="G17" i="9"/>
  <c r="F17" i="9"/>
  <c r="E17" i="9"/>
  <c r="D17" i="9"/>
</calcChain>
</file>

<file path=xl/sharedStrings.xml><?xml version="1.0" encoding="utf-8"?>
<sst xmlns="http://schemas.openxmlformats.org/spreadsheetml/2006/main" count="2423" uniqueCount="1267">
  <si>
    <t>When you have completed all tasks, please save and close the workbook.</t>
  </si>
  <si>
    <t>Start Instructions</t>
  </si>
  <si>
    <t>Complete all tasks below on the Project 1 Worksheet.</t>
  </si>
  <si>
    <r>
      <t xml:space="preserve">Format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column as </t>
    </r>
    <r>
      <rPr>
        <b/>
        <sz val="11"/>
        <color theme="1"/>
        <rFont val="Calibri"/>
        <family val="2"/>
        <scheme val="minor"/>
      </rPr>
      <t>Currency.</t>
    </r>
  </si>
  <si>
    <t>50 Minute Time Allotment</t>
  </si>
  <si>
    <t>Online Sales During Buy 1 Get 1 Free Sale</t>
  </si>
  <si>
    <t>Date</t>
  </si>
  <si>
    <t>Quantity</t>
  </si>
  <si>
    <t>Item</t>
  </si>
  <si>
    <t>State</t>
  </si>
  <si>
    <t>Old Bay</t>
  </si>
  <si>
    <t>MD</t>
  </si>
  <si>
    <t>Original Blend</t>
  </si>
  <si>
    <t>OH</t>
  </si>
  <si>
    <t>CA</t>
  </si>
  <si>
    <t>Sea Salt and Caramel</t>
  </si>
  <si>
    <t>MO</t>
  </si>
  <si>
    <t>NJ</t>
  </si>
  <si>
    <t>Truffle</t>
  </si>
  <si>
    <t>VA</t>
  </si>
  <si>
    <t>DC</t>
  </si>
  <si>
    <t>AL</t>
  </si>
  <si>
    <t>MS</t>
  </si>
  <si>
    <t>NC</t>
  </si>
  <si>
    <t>NY</t>
  </si>
  <si>
    <t>ID</t>
  </si>
  <si>
    <t>Price (ea.)</t>
  </si>
  <si>
    <r>
      <t xml:space="preserve">Add the 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row and calculate the </t>
    </r>
    <r>
      <rPr>
        <b/>
        <sz val="11"/>
        <color theme="1"/>
        <rFont val="Calibri"/>
        <family val="2"/>
        <scheme val="minor"/>
      </rPr>
      <t>average Products Price</t>
    </r>
    <r>
      <rPr>
        <sz val="11"/>
        <color theme="1"/>
        <rFont val="Calibri"/>
        <family val="2"/>
        <scheme val="minor"/>
      </rPr>
      <t xml:space="preserve">.  Apply </t>
    </r>
    <r>
      <rPr>
        <b/>
        <sz val="11"/>
        <color theme="1"/>
        <rFont val="Calibri"/>
        <family val="2"/>
        <scheme val="minor"/>
      </rPr>
      <t>Table Style, Blue Table Style Medium 20</t>
    </r>
    <r>
      <rPr>
        <sz val="11"/>
        <color theme="1"/>
        <rFont val="Calibri"/>
        <family val="2"/>
        <scheme val="minor"/>
      </rPr>
      <t>.</t>
    </r>
  </si>
  <si>
    <r>
      <t>Sum</t>
    </r>
    <r>
      <rPr>
        <sz val="11"/>
        <color theme="1"/>
        <rFont val="Calibri"/>
        <family val="2"/>
        <scheme val="minor"/>
      </rPr>
      <t xml:space="preserve"> the Quantity column in the total row.</t>
    </r>
  </si>
  <si>
    <t>Base Price</t>
  </si>
  <si>
    <t>Commission</t>
  </si>
  <si>
    <t>Code</t>
  </si>
  <si>
    <t>Tour Description</t>
  </si>
  <si>
    <t>Departure</t>
  </si>
  <si>
    <t>Base Cost</t>
  </si>
  <si>
    <t>Cape Town</t>
  </si>
  <si>
    <t>South Africa by Train</t>
  </si>
  <si>
    <t>Kruger National Park</t>
  </si>
  <si>
    <t>Palace of the Lost City</t>
  </si>
  <si>
    <t>Sabi Sand Reserve</t>
  </si>
  <si>
    <t>All Durban!</t>
  </si>
  <si>
    <t>Outer Kruger Fly-in Safari</t>
  </si>
  <si>
    <t>Agent  Name</t>
  </si>
  <si>
    <t>Student ID</t>
  </si>
  <si>
    <t>Tour Code</t>
  </si>
  <si>
    <t>Departure Date</t>
  </si>
  <si>
    <t>Murry</t>
  </si>
  <si>
    <t>Grantham</t>
  </si>
  <si>
    <t>Fox</t>
  </si>
  <si>
    <t>Bingham</t>
  </si>
  <si>
    <t>Shannon</t>
  </si>
  <si>
    <t>Kinsley</t>
  </si>
  <si>
    <t>Taxes and Fees</t>
  </si>
  <si>
    <t>Additional Information</t>
  </si>
  <si>
    <t>Lookup Tables</t>
  </si>
  <si>
    <t>Complete all tasks below on the Project 3 Worksheet.</t>
  </si>
  <si>
    <t>Premier Chocolates Sales (August)</t>
  </si>
  <si>
    <t>Truck Location</t>
  </si>
  <si>
    <t>Farragut Square</t>
  </si>
  <si>
    <t>George Washington</t>
  </si>
  <si>
    <t>Georgetown</t>
  </si>
  <si>
    <t>K Street</t>
  </si>
  <si>
    <r>
      <rPr>
        <b/>
        <sz val="11"/>
        <color theme="1"/>
        <rFont val="Calibri"/>
        <family val="2"/>
        <scheme val="minor"/>
      </rPr>
      <t>Merge and Center</t>
    </r>
    <r>
      <rPr>
        <sz val="11"/>
        <color theme="1"/>
        <rFont val="Calibri"/>
        <family val="2"/>
        <scheme val="minor"/>
      </rPr>
      <t xml:space="preserve"> the worksheet title across cells C11:G11.</t>
    </r>
  </si>
  <si>
    <r>
      <t xml:space="preserve">Apply the </t>
    </r>
    <r>
      <rPr>
        <b/>
        <sz val="11"/>
        <color theme="1"/>
        <rFont val="Calibri"/>
        <family val="2"/>
        <scheme val="minor"/>
      </rPr>
      <t>Heading 1</t>
    </r>
    <r>
      <rPr>
        <sz val="11"/>
        <color theme="1"/>
        <rFont val="Calibri"/>
        <family val="2"/>
        <scheme val="minor"/>
      </rPr>
      <t xml:space="preserve"> cell style to cell D12 and </t>
    </r>
    <r>
      <rPr>
        <b/>
        <sz val="11"/>
        <color theme="1"/>
        <rFont val="Calibri"/>
        <family val="2"/>
        <scheme val="minor"/>
      </rPr>
      <t>Merge and Center</t>
    </r>
    <r>
      <rPr>
        <sz val="11"/>
        <color theme="1"/>
        <rFont val="Calibri"/>
        <family val="2"/>
        <scheme val="minor"/>
      </rPr>
      <t xml:space="preserve"> cells D12:G12</t>
    </r>
  </si>
  <si>
    <r>
      <t xml:space="preserve">Apply the </t>
    </r>
    <r>
      <rPr>
        <b/>
        <sz val="11"/>
        <color theme="1"/>
        <rFont val="Calibri"/>
        <family val="2"/>
        <scheme val="minor"/>
      </rPr>
      <t>Accounting Number Format</t>
    </r>
    <r>
      <rPr>
        <sz val="11"/>
        <color theme="1"/>
        <rFont val="Calibri"/>
        <family val="2"/>
        <scheme val="minor"/>
      </rPr>
      <t xml:space="preserve"> with 0 digits after the decimal to cells D14:G16.</t>
    </r>
  </si>
  <si>
    <r>
      <t>Enter the word "</t>
    </r>
    <r>
      <rPr>
        <b/>
        <i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" in cell C17 and use a </t>
    </r>
    <r>
      <rPr>
        <b/>
        <sz val="11"/>
        <color theme="1"/>
        <rFont val="Calibri"/>
        <family val="2"/>
        <scheme val="minor"/>
      </rPr>
      <t>Function</t>
    </r>
    <r>
      <rPr>
        <sz val="11"/>
        <color theme="1"/>
        <rFont val="Calibri"/>
        <family val="2"/>
        <scheme val="minor"/>
      </rPr>
      <t xml:space="preserve"> to calculate the totals of cells in columns D through G.</t>
    </r>
  </si>
  <si>
    <r>
      <t xml:space="preserve">Apply the </t>
    </r>
    <r>
      <rPr>
        <b/>
        <sz val="11"/>
        <color theme="1"/>
        <rFont val="Calibri"/>
        <family val="2"/>
        <scheme val="minor"/>
      </rPr>
      <t xml:space="preserve">Title </t>
    </r>
    <r>
      <rPr>
        <sz val="11"/>
        <color theme="1"/>
        <rFont val="Calibri"/>
        <family val="2"/>
        <scheme val="minor"/>
      </rPr>
      <t>cell style to cell C11.</t>
    </r>
  </si>
  <si>
    <r>
      <t xml:space="preserve">Apply the </t>
    </r>
    <r>
      <rPr>
        <b/>
        <sz val="11"/>
        <color theme="1"/>
        <rFont val="Calibri"/>
        <family val="2"/>
        <scheme val="minor"/>
      </rPr>
      <t xml:space="preserve">Blue, Accent 1, Darker 50% </t>
    </r>
    <r>
      <rPr>
        <sz val="11"/>
        <color theme="1"/>
        <rFont val="Calibri"/>
        <family val="2"/>
        <scheme val="minor"/>
      </rPr>
      <t>fill color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 cell C11.</t>
    </r>
  </si>
  <si>
    <t>Total</t>
  </si>
  <si>
    <t>Complete all tasks below on the Project 4 Worksheet.</t>
  </si>
  <si>
    <r>
      <t xml:space="preserve">Insert a </t>
    </r>
    <r>
      <rPr>
        <b/>
        <sz val="11"/>
        <color theme="1"/>
        <rFont val="Calibri"/>
        <family val="2"/>
        <scheme val="minor"/>
      </rPr>
      <t>Clustered Column Chart</t>
    </r>
    <r>
      <rPr>
        <sz val="11"/>
        <color theme="1"/>
        <rFont val="Calibri"/>
        <family val="2"/>
        <scheme val="minor"/>
      </rPr>
      <t xml:space="preserve"> to show not only product sales by location, but also the total sales.</t>
    </r>
  </si>
  <si>
    <t>Move the chart where the upper left corner of the chart is in the upper left corner of cell C19.</t>
  </si>
  <si>
    <r>
      <t xml:space="preserve">Change the </t>
    </r>
    <r>
      <rPr>
        <b/>
        <sz val="11"/>
        <color theme="1"/>
        <rFont val="Calibri"/>
        <family val="2"/>
        <scheme val="minor"/>
      </rPr>
      <t>Chart Title</t>
    </r>
    <r>
      <rPr>
        <sz val="11"/>
        <color theme="1"/>
        <rFont val="Calibri"/>
        <family val="2"/>
        <scheme val="minor"/>
      </rPr>
      <t xml:space="preserve"> to "</t>
    </r>
    <r>
      <rPr>
        <b/>
        <i/>
        <sz val="11"/>
        <color theme="1"/>
        <rFont val="Calibri"/>
        <family val="2"/>
        <scheme val="minor"/>
      </rPr>
      <t>Premier Chocolates Sales (August)</t>
    </r>
    <r>
      <rPr>
        <sz val="11"/>
        <color theme="1"/>
        <rFont val="Calibri"/>
        <family val="2"/>
        <scheme val="minor"/>
      </rPr>
      <t>".</t>
    </r>
  </si>
  <si>
    <t>Black Truffle</t>
  </si>
  <si>
    <t>Daily Total (# sold)</t>
  </si>
  <si>
    <t>Daily Total ($)</t>
  </si>
  <si>
    <t>Sales Goal Met?</t>
  </si>
  <si>
    <t>Current price per box:</t>
  </si>
  <si>
    <t>Daily sales goal:</t>
  </si>
  <si>
    <t>Average daily sales:</t>
  </si>
  <si>
    <t>Lowest daily sales:</t>
  </si>
  <si>
    <t>Highest daily sales:</t>
  </si>
  <si>
    <t>New target daily sales goal:</t>
  </si>
  <si>
    <t>New price per box:</t>
  </si>
  <si>
    <t>Lookup date:</t>
  </si>
  <si>
    <t>Sales goal met?</t>
  </si>
  <si>
    <t>Complete all tasks below on the Project 5 Worksheet.</t>
  </si>
  <si>
    <t>w/Price Increase</t>
  </si>
  <si>
    <r>
      <t xml:space="preserve">Use </t>
    </r>
    <r>
      <rPr>
        <b/>
        <sz val="11"/>
        <color theme="1"/>
        <rFont val="Calibri"/>
        <family val="2"/>
        <scheme val="minor"/>
      </rPr>
      <t>Conditional Formatting</t>
    </r>
    <r>
      <rPr>
        <sz val="11"/>
        <color theme="1"/>
        <rFont val="Calibri"/>
        <family val="2"/>
        <scheme val="minor"/>
      </rPr>
      <t xml:space="preserve"> to apply </t>
    </r>
    <r>
      <rPr>
        <b/>
        <sz val="11"/>
        <color theme="1"/>
        <rFont val="Calibri"/>
        <family val="2"/>
        <scheme val="minor"/>
      </rPr>
      <t>Light Red Fill with Dark Red Text</t>
    </r>
    <r>
      <rPr>
        <sz val="11"/>
        <color theme="1"/>
        <rFont val="Calibri"/>
        <family val="2"/>
        <scheme val="minor"/>
      </rPr>
      <t xml:space="preserve"> to chocolate sales that exceed 1000 (do not include Total amount).</t>
    </r>
  </si>
  <si>
    <t>Complete all tasks below on the Project 6 Worksheet.</t>
  </si>
  <si>
    <t>In cell M15, enter a formula using the named range DailySales to calculate the Highest daily sales in dollars.</t>
  </si>
  <si>
    <t>In cell M13, enter a formula using the named range DailySales to calculate the Average daily sales in dollars.</t>
  </si>
  <si>
    <t>In cell M14, enter a formula using the named range DailySales to calculate the Lowest daily sales in dollars.</t>
  </si>
  <si>
    <t>Base Price of Tour</t>
  </si>
  <si>
    <r>
      <t>Import the "</t>
    </r>
    <r>
      <rPr>
        <b/>
        <i/>
        <sz val="11"/>
        <color theme="1"/>
        <rFont val="Calibri"/>
        <family val="2"/>
        <scheme val="minor"/>
      </rPr>
      <t>Old Town Sales-Alternate</t>
    </r>
    <r>
      <rPr>
        <sz val="11"/>
        <color theme="1"/>
        <rFont val="Calibri"/>
        <family val="2"/>
        <scheme val="minor"/>
      </rPr>
      <t>" Excel file into a new worksheet named "</t>
    </r>
    <r>
      <rPr>
        <b/>
        <sz val="11"/>
        <color theme="1"/>
        <rFont val="Calibri"/>
        <family val="2"/>
        <scheme val="minor"/>
      </rPr>
      <t>Alternate</t>
    </r>
    <r>
      <rPr>
        <sz val="11"/>
        <color theme="1"/>
        <rFont val="Calibri"/>
        <family val="2"/>
        <scheme val="minor"/>
      </rPr>
      <t>".  Make it the last worksheet.</t>
    </r>
  </si>
  <si>
    <r>
      <t xml:space="preserve">Unhide the </t>
    </r>
    <r>
      <rPr>
        <b/>
        <i/>
        <sz val="11"/>
        <color theme="1"/>
        <rFont val="Calibri"/>
        <family val="2"/>
        <scheme val="minor"/>
      </rPr>
      <t>"Project 2"</t>
    </r>
    <r>
      <rPr>
        <sz val="11"/>
        <color theme="1"/>
        <rFont val="Calibri"/>
        <family val="2"/>
        <scheme val="minor"/>
      </rPr>
      <t xml:space="preserve"> worksheet.</t>
    </r>
  </si>
  <si>
    <r>
      <t xml:space="preserve">Apply the </t>
    </r>
    <r>
      <rPr>
        <b/>
        <sz val="11"/>
        <color theme="1"/>
        <rFont val="Calibri"/>
        <family val="2"/>
        <scheme val="minor"/>
      </rPr>
      <t xml:space="preserve">White, Background 1 </t>
    </r>
    <r>
      <rPr>
        <sz val="11"/>
        <color theme="1"/>
        <rFont val="Calibri"/>
        <family val="2"/>
        <scheme val="minor"/>
      </rPr>
      <t>font color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 cell C11</t>
    </r>
    <r>
      <rPr>
        <b/>
        <sz val="11"/>
        <color theme="1"/>
        <rFont val="Calibri"/>
        <family val="2"/>
        <scheme val="minor"/>
      </rPr>
      <t xml:space="preserve">. </t>
    </r>
  </si>
  <si>
    <r>
      <t xml:space="preserve">Select cells C13:C43 and apply the </t>
    </r>
    <r>
      <rPr>
        <b/>
        <sz val="11"/>
        <color theme="1"/>
        <rFont val="Calibri"/>
        <family val="2"/>
        <scheme val="minor"/>
      </rPr>
      <t>Short Date</t>
    </r>
    <r>
      <rPr>
        <sz val="11"/>
        <color theme="1"/>
        <rFont val="Calibri"/>
        <family val="2"/>
        <scheme val="minor"/>
      </rPr>
      <t xml:space="preserve"> format.</t>
    </r>
  </si>
  <si>
    <r>
      <t xml:space="preserve">Calculate the average number of chocolates sold in cells D44:F44.  Select </t>
    </r>
    <r>
      <rPr>
        <b/>
        <sz val="11"/>
        <color theme="1"/>
        <rFont val="Calibri"/>
        <family val="2"/>
        <scheme val="minor"/>
      </rPr>
      <t>Number</t>
    </r>
    <r>
      <rPr>
        <sz val="11"/>
        <color theme="1"/>
        <rFont val="Calibri"/>
        <family val="2"/>
        <scheme val="minor"/>
      </rPr>
      <t xml:space="preserve"> format and no numbers after the decimal.</t>
    </r>
  </si>
  <si>
    <r>
      <t xml:space="preserve">For cells D13:F43 use </t>
    </r>
    <r>
      <rPr>
        <b/>
        <sz val="11"/>
        <color theme="1"/>
        <rFont val="Calibri"/>
        <family val="2"/>
        <scheme val="minor"/>
      </rPr>
      <t>Conditional Formatting</t>
    </r>
    <r>
      <rPr>
        <sz val="11"/>
        <color theme="1"/>
        <rFont val="Calibri"/>
        <family val="2"/>
        <scheme val="minor"/>
      </rPr>
      <t xml:space="preserve"> to apply a green fill with dark green text to the values that exceed the averages (by column).</t>
    </r>
  </si>
  <si>
    <t>In cell H13, enter a formula to calculate the daily total in dollars.  Use the current price per box in cell M12.</t>
  </si>
  <si>
    <t>In the formula in cell H13, use absolute references where appropriate and copy the formula down the column to H43.</t>
  </si>
  <si>
    <t>In cell I13, enter a formula using the IF function to determine whether the daily sales goal in cell M13 was met.  Display a "Yes" or "No."</t>
  </si>
  <si>
    <t>Copy the formula in cell I13 down the column to I43.</t>
  </si>
  <si>
    <t>Add spelling checker to the quick access tool bar.</t>
  </si>
  <si>
    <t>Display all formulas on the worksheet.</t>
  </si>
  <si>
    <t>Missing Newsletter</t>
  </si>
  <si>
    <t>Total Enrolled</t>
  </si>
  <si>
    <t>Studied Abroad</t>
  </si>
  <si>
    <t>The Roux Academy of Art</t>
  </si>
  <si>
    <t>Student Roster 2017</t>
  </si>
  <si>
    <t>Kirby</t>
  </si>
  <si>
    <t xml:space="preserve"> An</t>
  </si>
  <si>
    <t xml:space="preserve"> Texas</t>
  </si>
  <si>
    <t xml:space="preserve"> (806) 555-5527</t>
  </si>
  <si>
    <t xml:space="preserve"> akirby@alumni.rouxacademy.com</t>
  </si>
  <si>
    <t xml:space="preserve"> Fine Art and Visual Culture</t>
  </si>
  <si>
    <t xml:space="preserve"> NO</t>
  </si>
  <si>
    <t>Gomez</t>
  </si>
  <si>
    <t xml:space="preserve"> Mirta</t>
  </si>
  <si>
    <t xml:space="preserve"> Ohio</t>
  </si>
  <si>
    <t xml:space="preserve"> (937) 555-9986</t>
  </si>
  <si>
    <t xml:space="preserve"> mgomez@alumni.rouxacademy.com</t>
  </si>
  <si>
    <t xml:space="preserve"> Animation</t>
  </si>
  <si>
    <t xml:space="preserve"> YES</t>
  </si>
  <si>
    <t xml:space="preserve"> Thailand</t>
  </si>
  <si>
    <t>Cook</t>
  </si>
  <si>
    <t xml:space="preserve"> Alana</t>
  </si>
  <si>
    <t xml:space="preserve"> Iowa</t>
  </si>
  <si>
    <t xml:space="preserve"> (319) 555-0182</t>
  </si>
  <si>
    <t xml:space="preserve"> acook2@alumni.rouxacademy.com</t>
  </si>
  <si>
    <t xml:space="preserve"> Graphic Design</t>
  </si>
  <si>
    <t>Lara</t>
  </si>
  <si>
    <t xml:space="preserve"> Magdalena</t>
  </si>
  <si>
    <t xml:space="preserve"> Virginia</t>
  </si>
  <si>
    <t xml:space="preserve"> (434) 555-8004</t>
  </si>
  <si>
    <t xml:space="preserve"> mlara3@alumni.rouxacademy.com</t>
  </si>
  <si>
    <t>Jefferson</t>
  </si>
  <si>
    <t xml:space="preserve"> Kirstin</t>
  </si>
  <si>
    <t xml:space="preserve"> Massachusetts</t>
  </si>
  <si>
    <t xml:space="preserve"> (978) 555-6967</t>
  </si>
  <si>
    <t xml:space="preserve"> kjefferson@alumni.rouxacademy.com</t>
  </si>
  <si>
    <t>Montoya</t>
  </si>
  <si>
    <t xml:space="preserve"> Deandre</t>
  </si>
  <si>
    <t xml:space="preserve"> Louisiana</t>
  </si>
  <si>
    <t xml:space="preserve"> (504) 555-8873</t>
  </si>
  <si>
    <t xml:space="preserve"> dmontoya2@alumni.rouxacademy.com</t>
  </si>
  <si>
    <t>Rodriguez</t>
  </si>
  <si>
    <t xml:space="preserve"> Emile</t>
  </si>
  <si>
    <t xml:space="preserve"> Illinois</t>
  </si>
  <si>
    <t xml:space="preserve"> (217) 555-6858</t>
  </si>
  <si>
    <t xml:space="preserve"> erodriguez@alumni.rouxacademy.com</t>
  </si>
  <si>
    <t>Lindsey</t>
  </si>
  <si>
    <t xml:space="preserve"> Tomi</t>
  </si>
  <si>
    <t xml:space="preserve"> (318) 555-7067</t>
  </si>
  <si>
    <t xml:space="preserve"> tlindsey3@alumni.rouxacademy.com</t>
  </si>
  <si>
    <t xml:space="preserve"> Fashion and Textile Design</t>
  </si>
  <si>
    <t>Hyde</t>
  </si>
  <si>
    <t xml:space="preserve"> Jewell</t>
  </si>
  <si>
    <t xml:space="preserve"> Wisconsin</t>
  </si>
  <si>
    <t xml:space="preserve"> (534) 555-4904</t>
  </si>
  <si>
    <t xml:space="preserve"> jhyde@alumni.rouxacademy.com</t>
  </si>
  <si>
    <t>Maldonado</t>
  </si>
  <si>
    <t xml:space="preserve"> Frederic</t>
  </si>
  <si>
    <t xml:space="preserve"> (540) 555-9021</t>
  </si>
  <si>
    <t xml:space="preserve"> fmaldonado@alumni.rouxacademy.com</t>
  </si>
  <si>
    <t xml:space="preserve"> Spain</t>
  </si>
  <si>
    <t>Conley</t>
  </si>
  <si>
    <t xml:space="preserve"> Sonja</t>
  </si>
  <si>
    <t xml:space="preserve"> New York</t>
  </si>
  <si>
    <t xml:space="preserve"> (315) 555-7293</t>
  </si>
  <si>
    <t xml:space="preserve"> sconley3@alumni.rouxacademy.com</t>
  </si>
  <si>
    <t>Parsons</t>
  </si>
  <si>
    <t xml:space="preserve"> Rudolf</t>
  </si>
  <si>
    <t xml:space="preserve"> (281) 555-4112</t>
  </si>
  <si>
    <t xml:space="preserve"> rparsons@alumni.rouxacademy.com</t>
  </si>
  <si>
    <t>Eaton</t>
  </si>
  <si>
    <t xml:space="preserve"> Fredda</t>
  </si>
  <si>
    <t xml:space="preserve"> Arkansas</t>
  </si>
  <si>
    <t xml:space="preserve"> (501) 555-4686</t>
  </si>
  <si>
    <t xml:space="preserve"> featon@alumni.rouxacademy.com</t>
  </si>
  <si>
    <t>England</t>
  </si>
  <si>
    <t xml:space="preserve"> Santana</t>
  </si>
  <si>
    <t xml:space="preserve"> Minnesota</t>
  </si>
  <si>
    <t xml:space="preserve"> (612) 555-6583</t>
  </si>
  <si>
    <t xml:space="preserve"> sengland@alumni.rouxacademy.com</t>
  </si>
  <si>
    <t>Gilliam</t>
  </si>
  <si>
    <t xml:space="preserve"> Janna</t>
  </si>
  <si>
    <t xml:space="preserve"> Kentucky</t>
  </si>
  <si>
    <t xml:space="preserve"> (502) 555-3168</t>
  </si>
  <si>
    <t xml:space="preserve"> jgilliam2@alumni.rouxacademy.com</t>
  </si>
  <si>
    <t xml:space="preserve"> Russia</t>
  </si>
  <si>
    <t>Knowles</t>
  </si>
  <si>
    <t xml:space="preserve"> Elayne</t>
  </si>
  <si>
    <t xml:space="preserve"> Missouri</t>
  </si>
  <si>
    <t xml:space="preserve"> (636) 555-7056</t>
  </si>
  <si>
    <t xml:space="preserve"> eknowles2@alumni.rouxacademy.com</t>
  </si>
  <si>
    <t>Waters</t>
  </si>
  <si>
    <t xml:space="preserve"> Carter</t>
  </si>
  <si>
    <t xml:space="preserve"> New Jersey</t>
  </si>
  <si>
    <t xml:space="preserve"> (201) 555-7678</t>
  </si>
  <si>
    <t xml:space="preserve"> cwaters2@alumni.rouxacademy.com</t>
  </si>
  <si>
    <t>Travis</t>
  </si>
  <si>
    <t xml:space="preserve"> Lidia</t>
  </si>
  <si>
    <t xml:space="preserve"> (218) 555-6969</t>
  </si>
  <si>
    <t xml:space="preserve"> ltravis@alumni.rouxacademy.com</t>
  </si>
  <si>
    <t>Pratt</t>
  </si>
  <si>
    <t xml:space="preserve"> Robert</t>
  </si>
  <si>
    <t xml:space="preserve"> California</t>
  </si>
  <si>
    <t xml:space="preserve"> (323) 555-4034</t>
  </si>
  <si>
    <t xml:space="preserve"> rpratt2@alumni.rouxacademy.com</t>
  </si>
  <si>
    <t>Reyes</t>
  </si>
  <si>
    <t xml:space="preserve"> Naomi</t>
  </si>
  <si>
    <t xml:space="preserve"> Utah</t>
  </si>
  <si>
    <t xml:space="preserve"> (435) 555-1991</t>
  </si>
  <si>
    <t xml:space="preserve"> nreyes@alumni.rouxacademy.com</t>
  </si>
  <si>
    <t>Cochran</t>
  </si>
  <si>
    <t xml:space="preserve"> Nickie</t>
  </si>
  <si>
    <t xml:space="preserve"> (424) 555-7152</t>
  </si>
  <si>
    <t xml:space="preserve"> ncochran@alumni.rouxacademy.com</t>
  </si>
  <si>
    <t>Moran</t>
  </si>
  <si>
    <t xml:space="preserve"> Sallie</t>
  </si>
  <si>
    <t xml:space="preserve"> (330) 555-1897</t>
  </si>
  <si>
    <t xml:space="preserve"> smoran3@alumni.rouxacademy.com</t>
  </si>
  <si>
    <t>Church</t>
  </si>
  <si>
    <t xml:space="preserve"> Mackenzie</t>
  </si>
  <si>
    <t xml:space="preserve"> (530) 555-7087</t>
  </si>
  <si>
    <t xml:space="preserve"> mchurch@alumni.rouxacademy.com</t>
  </si>
  <si>
    <t>Weaver</t>
  </si>
  <si>
    <t xml:space="preserve"> Blake</t>
  </si>
  <si>
    <t xml:space="preserve"> Michigan</t>
  </si>
  <si>
    <t xml:space="preserve"> (586) 555-9771</t>
  </si>
  <si>
    <t xml:space="preserve"> bweaver2@alumni.rouxacademy.com</t>
  </si>
  <si>
    <t>Torres</t>
  </si>
  <si>
    <t xml:space="preserve"> Ricki</t>
  </si>
  <si>
    <t xml:space="preserve"> Florida</t>
  </si>
  <si>
    <t xml:space="preserve"> (407) 555-0973</t>
  </si>
  <si>
    <t xml:space="preserve"> rtorres4@alumni.rouxacademy.com</t>
  </si>
  <si>
    <t>Snow</t>
  </si>
  <si>
    <t xml:space="preserve"> Launa</t>
  </si>
  <si>
    <t xml:space="preserve"> (540) 555-1460</t>
  </si>
  <si>
    <t xml:space="preserve"> lsnow@alumni.rouxacademy.com</t>
  </si>
  <si>
    <t>Lott</t>
  </si>
  <si>
    <t xml:space="preserve"> Blaine</t>
  </si>
  <si>
    <t xml:space="preserve"> (559) 555-9196</t>
  </si>
  <si>
    <t xml:space="preserve"> blott@alumni.rouxacademy.com</t>
  </si>
  <si>
    <t>Velez</t>
  </si>
  <si>
    <t xml:space="preserve"> Leonora</t>
  </si>
  <si>
    <t xml:space="preserve"> Connecticut</t>
  </si>
  <si>
    <t xml:space="preserve"> (860) 555-5640</t>
  </si>
  <si>
    <t xml:space="preserve"> lvelez3@alumni.rouxacademy.com</t>
  </si>
  <si>
    <t xml:space="preserve"> India</t>
  </si>
  <si>
    <t>Becker</t>
  </si>
  <si>
    <t xml:space="preserve"> Young</t>
  </si>
  <si>
    <t xml:space="preserve"> South Carolina</t>
  </si>
  <si>
    <t xml:space="preserve"> (803) 555-8489</t>
  </si>
  <si>
    <t xml:space="preserve"> ybecker2@alumni.rouxacademy.com</t>
  </si>
  <si>
    <t>Cantrell</t>
  </si>
  <si>
    <t xml:space="preserve"> Emily</t>
  </si>
  <si>
    <t xml:space="preserve"> (415) 555-4641</t>
  </si>
  <si>
    <t xml:space="preserve"> ecantrell2@alumni.rouxacademy.com</t>
  </si>
  <si>
    <t>Lowe</t>
  </si>
  <si>
    <t xml:space="preserve"> Harold</t>
  </si>
  <si>
    <t xml:space="preserve"> (305) 555-6525</t>
  </si>
  <si>
    <t xml:space="preserve"> hlowe@alumni.rouxacademy.com</t>
  </si>
  <si>
    <t>Walls</t>
  </si>
  <si>
    <t xml:space="preserve"> Loria</t>
  </si>
  <si>
    <t xml:space="preserve"> Maryland</t>
  </si>
  <si>
    <t xml:space="preserve"> (301) 555-7093</t>
  </si>
  <si>
    <t xml:space="preserve"> lwalls@alumni.rouxacademy.com</t>
  </si>
  <si>
    <t xml:space="preserve"> Lebanon</t>
  </si>
  <si>
    <t>Huff</t>
  </si>
  <si>
    <t xml:space="preserve"> Jin</t>
  </si>
  <si>
    <t xml:space="preserve"> (607) 555-9702</t>
  </si>
  <si>
    <t xml:space="preserve"> jhuff@alumni.rouxacademy.com</t>
  </si>
  <si>
    <t>Vazquez</t>
  </si>
  <si>
    <t xml:space="preserve"> Werner</t>
  </si>
  <si>
    <t xml:space="preserve"> Delaware</t>
  </si>
  <si>
    <t xml:space="preserve"> (302) 555-8969</t>
  </si>
  <si>
    <t xml:space="preserve"> wvazquez@alumni.rouxacademy.com</t>
  </si>
  <si>
    <t>Jenkins</t>
  </si>
  <si>
    <t xml:space="preserve"> Marion</t>
  </si>
  <si>
    <t xml:space="preserve"> (517) 555-0252</t>
  </si>
  <si>
    <t xml:space="preserve"> mjenkins5@alumni.rouxacademy.com</t>
  </si>
  <si>
    <t>Washington</t>
  </si>
  <si>
    <t xml:space="preserve"> Mitzie</t>
  </si>
  <si>
    <t xml:space="preserve"> (240) 555-2358</t>
  </si>
  <si>
    <t xml:space="preserve"> mwashington3@alumni.rouxacademy.com</t>
  </si>
  <si>
    <t>Webb</t>
  </si>
  <si>
    <t xml:space="preserve"> Addie</t>
  </si>
  <si>
    <t xml:space="preserve"> (318) 555-9192</t>
  </si>
  <si>
    <t xml:space="preserve"> awebb2@alumni.rouxacademy.com</t>
  </si>
  <si>
    <t>James</t>
  </si>
  <si>
    <t xml:space="preserve"> Arline</t>
  </si>
  <si>
    <t xml:space="preserve"> (916) 555-2333</t>
  </si>
  <si>
    <t xml:space="preserve"> ajames@alumni.rouxacademy.com</t>
  </si>
  <si>
    <t xml:space="preserve"> China</t>
  </si>
  <si>
    <t>Frazier</t>
  </si>
  <si>
    <t xml:space="preserve"> Marget</t>
  </si>
  <si>
    <t xml:space="preserve"> (845) 555-9009</t>
  </si>
  <si>
    <t xml:space="preserve"> mfrazier@alumni.rouxacademy.com</t>
  </si>
  <si>
    <t>Trujillo</t>
  </si>
  <si>
    <t xml:space="preserve"> Bianca</t>
  </si>
  <si>
    <t xml:space="preserve"> Indiana</t>
  </si>
  <si>
    <t xml:space="preserve"> (317) 555-2644</t>
  </si>
  <si>
    <t xml:space="preserve"> btrujillo@alumni.rouxacademy.com</t>
  </si>
  <si>
    <t>Cunningham</t>
  </si>
  <si>
    <t xml:space="preserve"> William</t>
  </si>
  <si>
    <t xml:space="preserve"> (781) 555-5971</t>
  </si>
  <si>
    <t xml:space="preserve"> wcunningham@alumni.rouxacademy.com</t>
  </si>
  <si>
    <t>Day</t>
  </si>
  <si>
    <t xml:space="preserve"> Cesar</t>
  </si>
  <si>
    <t xml:space="preserve"> (443) 555-8218</t>
  </si>
  <si>
    <t xml:space="preserve"> cday@alumni.rouxacademy.com</t>
  </si>
  <si>
    <t>Ross</t>
  </si>
  <si>
    <t xml:space="preserve"> Ria</t>
  </si>
  <si>
    <t xml:space="preserve"> (985) 555-1871</t>
  </si>
  <si>
    <t xml:space="preserve"> rross@alumni.rouxacademy.com</t>
  </si>
  <si>
    <t xml:space="preserve"> Brazil</t>
  </si>
  <si>
    <t>Robertson</t>
  </si>
  <si>
    <t xml:space="preserve"> Collette</t>
  </si>
  <si>
    <t xml:space="preserve"> (843) 555-9323</t>
  </si>
  <si>
    <t xml:space="preserve"> crobertson@alumni.rouxacademy.com</t>
  </si>
  <si>
    <t xml:space="preserve"> Poland</t>
  </si>
  <si>
    <t>Moreno</t>
  </si>
  <si>
    <t xml:space="preserve"> Zula</t>
  </si>
  <si>
    <t xml:space="preserve"> Georgia</t>
  </si>
  <si>
    <t xml:space="preserve"> (229) 555-9442</t>
  </si>
  <si>
    <t xml:space="preserve"> zmoreno2@alumni.rouxacademy.com</t>
  </si>
  <si>
    <t>Owens</t>
  </si>
  <si>
    <t xml:space="preserve"> Maisie</t>
  </si>
  <si>
    <t xml:space="preserve"> Colorado</t>
  </si>
  <si>
    <t xml:space="preserve"> (303) 555-1777</t>
  </si>
  <si>
    <t xml:space="preserve"> mowens@alumni.rouxacademy.com</t>
  </si>
  <si>
    <t>Lawrence</t>
  </si>
  <si>
    <t xml:space="preserve"> Lyndsey</t>
  </si>
  <si>
    <t xml:space="preserve"> (386) 555-8382</t>
  </si>
  <si>
    <t xml:space="preserve"> llawrence@alumni.rouxacademy.com</t>
  </si>
  <si>
    <t>Maxwell</t>
  </si>
  <si>
    <t xml:space="preserve"> Beatriz</t>
  </si>
  <si>
    <t xml:space="preserve"> (314) 555-4214</t>
  </si>
  <si>
    <t xml:space="preserve"> bmaxwell@alumni.rouxacademy.com</t>
  </si>
  <si>
    <t xml:space="preserve"> Graham</t>
  </si>
  <si>
    <t xml:space="preserve"> (650) 555-6739</t>
  </si>
  <si>
    <t xml:space="preserve"> gsnow@alumni.rouxacademy.com</t>
  </si>
  <si>
    <t>Vance</t>
  </si>
  <si>
    <t xml:space="preserve"> Arlene</t>
  </si>
  <si>
    <t xml:space="preserve"> (870) 555-5117</t>
  </si>
  <si>
    <t xml:space="preserve"> avance2@alumni.rouxacademy.com</t>
  </si>
  <si>
    <t>Barnett</t>
  </si>
  <si>
    <t xml:space="preserve"> Erwin</t>
  </si>
  <si>
    <t xml:space="preserve"> Washington</t>
  </si>
  <si>
    <t xml:space="preserve"> (360) 555-0325</t>
  </si>
  <si>
    <t xml:space="preserve"> ebarnett@alumni.rouxacademy.com</t>
  </si>
  <si>
    <t>Mcintosh</t>
  </si>
  <si>
    <t xml:space="preserve"> Tiffani</t>
  </si>
  <si>
    <t xml:space="preserve"> (530) 555-1751</t>
  </si>
  <si>
    <t xml:space="preserve"> tmcintosh@alumni.rouxacademy.com</t>
  </si>
  <si>
    <t>Crosby</t>
  </si>
  <si>
    <t xml:space="preserve"> Mimi</t>
  </si>
  <si>
    <t xml:space="preserve"> (218) 555-3213</t>
  </si>
  <si>
    <t xml:space="preserve"> mcrosby2@alumni.rouxacademy.com</t>
  </si>
  <si>
    <t xml:space="preserve"> Mee</t>
  </si>
  <si>
    <t xml:space="preserve"> (508) 555-2712</t>
  </si>
  <si>
    <t xml:space="preserve"> mlawrence3@alumni.rouxacademy.com</t>
  </si>
  <si>
    <t>Franklin</t>
  </si>
  <si>
    <t xml:space="preserve"> Rosario</t>
  </si>
  <si>
    <t xml:space="preserve"> Vermont</t>
  </si>
  <si>
    <t xml:space="preserve"> (802) 555-0021</t>
  </si>
  <si>
    <t xml:space="preserve"> rfranklin2@alumni.rouxacademy.com</t>
  </si>
  <si>
    <t xml:space="preserve"> Greece</t>
  </si>
  <si>
    <t>Riddle</t>
  </si>
  <si>
    <t xml:space="preserve"> Sandee</t>
  </si>
  <si>
    <t xml:space="preserve"> (573) 555-6701</t>
  </si>
  <si>
    <t xml:space="preserve"> sriddle@alumni.rouxacademy.com</t>
  </si>
  <si>
    <t>Farmer</t>
  </si>
  <si>
    <t xml:space="preserve"> Tandra</t>
  </si>
  <si>
    <t xml:space="preserve"> Hawaii</t>
  </si>
  <si>
    <t xml:space="preserve"> (808) 555-3228</t>
  </si>
  <si>
    <t xml:space="preserve"> tfarmer@alumni.rouxacademy.com</t>
  </si>
  <si>
    <t>Tate</t>
  </si>
  <si>
    <t xml:space="preserve"> Aurelia</t>
  </si>
  <si>
    <t xml:space="preserve"> (732) 555-0564</t>
  </si>
  <si>
    <t xml:space="preserve"> atate@alumni.rouxacademy.com</t>
  </si>
  <si>
    <t>Vargas</t>
  </si>
  <si>
    <t xml:space="preserve"> Margie</t>
  </si>
  <si>
    <t xml:space="preserve"> (206) 555-9416</t>
  </si>
  <si>
    <t xml:space="preserve"> mvargas2@alumni.rouxacademy.com</t>
  </si>
  <si>
    <t>Moon</t>
  </si>
  <si>
    <t xml:space="preserve"> Demetra</t>
  </si>
  <si>
    <t xml:space="preserve"> Pennsylvania</t>
  </si>
  <si>
    <t xml:space="preserve"> (570) 555-5162</t>
  </si>
  <si>
    <t xml:space="preserve"> dmoon3@alumni.rouxacademy.com</t>
  </si>
  <si>
    <t>Barrera</t>
  </si>
  <si>
    <t xml:space="preserve"> Nicolle</t>
  </si>
  <si>
    <t xml:space="preserve"> (408) 555-1532</t>
  </si>
  <si>
    <t xml:space="preserve"> nbarrera@alumni.rouxacademy.com</t>
  </si>
  <si>
    <t>Robinson</t>
  </si>
  <si>
    <t xml:space="preserve"> Monnie</t>
  </si>
  <si>
    <t xml:space="preserve"> (706) 555-0343</t>
  </si>
  <si>
    <t xml:space="preserve"> mrobinson5@alumni.rouxacademy.com</t>
  </si>
  <si>
    <t>Wynn</t>
  </si>
  <si>
    <t xml:space="preserve"> Toccara</t>
  </si>
  <si>
    <t xml:space="preserve"> (856) 555-6850</t>
  </si>
  <si>
    <t xml:space="preserve"> twynn@alumni.rouxacademy.com</t>
  </si>
  <si>
    <t xml:space="preserve"> Turkey</t>
  </si>
  <si>
    <t>Macdonald</t>
  </si>
  <si>
    <t xml:space="preserve"> Eileen</t>
  </si>
  <si>
    <t xml:space="preserve"> (313) 555-9400</t>
  </si>
  <si>
    <t xml:space="preserve"> emacdonald@alumni.rouxacademy.com</t>
  </si>
  <si>
    <t>Fowler</t>
  </si>
  <si>
    <t xml:space="preserve"> Amparo</t>
  </si>
  <si>
    <t xml:space="preserve"> (660) 555-8707</t>
  </si>
  <si>
    <t xml:space="preserve"> afowler@alumni.rouxacademy.com</t>
  </si>
  <si>
    <t>Skinner</t>
  </si>
  <si>
    <t xml:space="preserve"> Coralie</t>
  </si>
  <si>
    <t xml:space="preserve"> (805) 555-9494</t>
  </si>
  <si>
    <t xml:space="preserve"> cskinner@alumni.rouxacademy.com</t>
  </si>
  <si>
    <t>France</t>
  </si>
  <si>
    <t>Mcpherson</t>
  </si>
  <si>
    <t xml:space="preserve"> Elenora</t>
  </si>
  <si>
    <t xml:space="preserve"> (929) 555-8001</t>
  </si>
  <si>
    <t xml:space="preserve"> emcpherson@alumni.rouxacademy.com</t>
  </si>
  <si>
    <t>Lambert</t>
  </si>
  <si>
    <t xml:space="preserve"> Shani</t>
  </si>
  <si>
    <t xml:space="preserve"> (325) 555-3547</t>
  </si>
  <si>
    <t xml:space="preserve"> slambert2@alumni.rouxacademy.com</t>
  </si>
  <si>
    <t>Blackwell</t>
  </si>
  <si>
    <t xml:space="preserve"> Wilburn</t>
  </si>
  <si>
    <t xml:space="preserve"> (254) 555-1995</t>
  </si>
  <si>
    <t xml:space="preserve"> wblackwell@alumni.rouxacademy.com</t>
  </si>
  <si>
    <t>Jarvis</t>
  </si>
  <si>
    <t xml:space="preserve"> Owen</t>
  </si>
  <si>
    <t xml:space="preserve"> (912) 555-1844</t>
  </si>
  <si>
    <t xml:space="preserve"> ojarvis@alumni.rouxacademy.com</t>
  </si>
  <si>
    <t>Kramer</t>
  </si>
  <si>
    <t xml:space="preserve"> Louella</t>
  </si>
  <si>
    <t xml:space="preserve"> Alabama</t>
  </si>
  <si>
    <t xml:space="preserve"> (205) 555-5151</t>
  </si>
  <si>
    <t xml:space="preserve"> lkramer3@alumni.rouxacademy.com</t>
  </si>
  <si>
    <t>Russo</t>
  </si>
  <si>
    <t xml:space="preserve"> Gussie</t>
  </si>
  <si>
    <t xml:space="preserve"> (312) 555-5497</t>
  </si>
  <si>
    <t xml:space="preserve"> grusso4@alumni.rouxacademy.com</t>
  </si>
  <si>
    <t>Cohen</t>
  </si>
  <si>
    <t xml:space="preserve"> Sheilah</t>
  </si>
  <si>
    <t xml:space="preserve"> Oklahoma</t>
  </si>
  <si>
    <t xml:space="preserve"> (918) 555-0272</t>
  </si>
  <si>
    <t xml:space="preserve"> scohen@alumni.rouxacademy.com</t>
  </si>
  <si>
    <t>Rivera</t>
  </si>
  <si>
    <t xml:space="preserve"> Jonnie</t>
  </si>
  <si>
    <t xml:space="preserve"> (386) 555-7088</t>
  </si>
  <si>
    <t xml:space="preserve"> jrivera@alumni.rouxacademy.com</t>
  </si>
  <si>
    <t>Finch</t>
  </si>
  <si>
    <t xml:space="preserve"> Hong</t>
  </si>
  <si>
    <t xml:space="preserve"> (954) 555-5125</t>
  </si>
  <si>
    <t xml:space="preserve"> hfinch@alumni.rouxacademy.com</t>
  </si>
  <si>
    <t>Walker</t>
  </si>
  <si>
    <t xml:space="preserve"> Leota</t>
  </si>
  <si>
    <t xml:space="preserve"> (657) 555-8873</t>
  </si>
  <si>
    <t xml:space="preserve"> lwalker4@alumni.rouxacademy.com</t>
  </si>
  <si>
    <t>Mccarthy</t>
  </si>
  <si>
    <t xml:space="preserve"> Napoleon</t>
  </si>
  <si>
    <t xml:space="preserve"> (641) 555-8658</t>
  </si>
  <si>
    <t xml:space="preserve"> nmccarthy@alumni.rouxacademy.com</t>
  </si>
  <si>
    <t>Solis</t>
  </si>
  <si>
    <t xml:space="preserve"> Kecia</t>
  </si>
  <si>
    <t xml:space="preserve"> (360) 555-8019</t>
  </si>
  <si>
    <t xml:space="preserve"> ksolis@alumni.rouxacademy.com</t>
  </si>
  <si>
    <t xml:space="preserve"> Mexico</t>
  </si>
  <si>
    <t>Brennan</t>
  </si>
  <si>
    <t xml:space="preserve"> Nickole</t>
  </si>
  <si>
    <t xml:space="preserve"> (763) 555-8344</t>
  </si>
  <si>
    <t xml:space="preserve"> nbrennan2@alumni.rouxacademy.com</t>
  </si>
  <si>
    <t>Weber</t>
  </si>
  <si>
    <t xml:space="preserve"> Regine</t>
  </si>
  <si>
    <t xml:space="preserve"> (325) 555-8298</t>
  </si>
  <si>
    <t xml:space="preserve"> rweber@alumni.rouxacademy.com</t>
  </si>
  <si>
    <t xml:space="preserve"> Clark</t>
  </si>
  <si>
    <t xml:space="preserve"> (507) 555-4592</t>
  </si>
  <si>
    <t xml:space="preserve"> cbecker@alumni.rouxacademy.com</t>
  </si>
  <si>
    <t xml:space="preserve"> Corrine</t>
  </si>
  <si>
    <t xml:space="preserve"> (325) 555-6811</t>
  </si>
  <si>
    <t xml:space="preserve"> cfarmer2@alumni.rouxacademy.com</t>
  </si>
  <si>
    <t xml:space="preserve"> Millie</t>
  </si>
  <si>
    <t xml:space="preserve"> Oregon</t>
  </si>
  <si>
    <t xml:space="preserve"> (503) 555-6588</t>
  </si>
  <si>
    <t xml:space="preserve"> mwaters2@alumni.rouxacademy.com</t>
  </si>
  <si>
    <t>Byers</t>
  </si>
  <si>
    <t xml:space="preserve"> Mitchell</t>
  </si>
  <si>
    <t xml:space="preserve"> (219) 555-0191</t>
  </si>
  <si>
    <t xml:space="preserve"> mbyers3@alumni.rouxacademy.com</t>
  </si>
  <si>
    <t xml:space="preserve"> Germany</t>
  </si>
  <si>
    <t>Lee</t>
  </si>
  <si>
    <t xml:space="preserve"> Monroe</t>
  </si>
  <si>
    <t xml:space="preserve"> Arizona</t>
  </si>
  <si>
    <t xml:space="preserve"> (602) 555-1099</t>
  </si>
  <si>
    <t xml:space="preserve"> mlee3@alumni.rouxacademy.com</t>
  </si>
  <si>
    <t>Collier</t>
  </si>
  <si>
    <t xml:space="preserve"> (623) 555-7749</t>
  </si>
  <si>
    <t xml:space="preserve"> lcollier@alumni.rouxacademy.com</t>
  </si>
  <si>
    <t>Mueller</t>
  </si>
  <si>
    <t xml:space="preserve"> Leslie</t>
  </si>
  <si>
    <t xml:space="preserve"> (706) 555-8810</t>
  </si>
  <si>
    <t xml:space="preserve"> lmueller2@alumni.rouxacademy.com</t>
  </si>
  <si>
    <t>Buckley</t>
  </si>
  <si>
    <t xml:space="preserve"> Sun</t>
  </si>
  <si>
    <t xml:space="preserve"> (720) 555-7142</t>
  </si>
  <si>
    <t xml:space="preserve"> sbuckley2@alumni.rouxacademy.com</t>
  </si>
  <si>
    <t>Alexander</t>
  </si>
  <si>
    <t xml:space="preserve"> Marlon</t>
  </si>
  <si>
    <t xml:space="preserve"> (703) 555-3539</t>
  </si>
  <si>
    <t xml:space="preserve"> malexander5@alumni.rouxacademy.com</t>
  </si>
  <si>
    <t>Graves</t>
  </si>
  <si>
    <t xml:space="preserve"> Nereida</t>
  </si>
  <si>
    <t xml:space="preserve"> (813) 555-6661</t>
  </si>
  <si>
    <t xml:space="preserve"> ngraves@alumni.rouxacademy.com</t>
  </si>
  <si>
    <t>Mccall</t>
  </si>
  <si>
    <t xml:space="preserve"> Marisela</t>
  </si>
  <si>
    <t xml:space="preserve"> (405) 555-7192</t>
  </si>
  <si>
    <t xml:space="preserve"> mmccall@alumni.rouxacademy.com</t>
  </si>
  <si>
    <t>Hays</t>
  </si>
  <si>
    <t xml:space="preserve"> Classie</t>
  </si>
  <si>
    <t xml:space="preserve"> Nebraska</t>
  </si>
  <si>
    <t xml:space="preserve"> (308) 555-3011</t>
  </si>
  <si>
    <t xml:space="preserve"> chays2@alumni.rouxacademy.com</t>
  </si>
  <si>
    <t>Roman</t>
  </si>
  <si>
    <t xml:space="preserve"> Brain</t>
  </si>
  <si>
    <t xml:space="preserve"> (254) 555-2237</t>
  </si>
  <si>
    <t xml:space="preserve"> broman@alumni.rouxacademy.com</t>
  </si>
  <si>
    <t>Gonzales</t>
  </si>
  <si>
    <t xml:space="preserve"> Delinda</t>
  </si>
  <si>
    <t xml:space="preserve"> (319) 555-7763</t>
  </si>
  <si>
    <t xml:space="preserve"> dgonzales2@alumni.rouxacademy.com</t>
  </si>
  <si>
    <t>Johns</t>
  </si>
  <si>
    <t xml:space="preserve"> Matilde</t>
  </si>
  <si>
    <t xml:space="preserve"> (458) 555-3359</t>
  </si>
  <si>
    <t xml:space="preserve"> mjohns2@alumni.rouxacademy.com</t>
  </si>
  <si>
    <t>Todd</t>
  </si>
  <si>
    <t xml:space="preserve"> Brigitte</t>
  </si>
  <si>
    <t xml:space="preserve"> (832) 555-6165</t>
  </si>
  <si>
    <t xml:space="preserve"> btodd2@alumni.rouxacademy.com</t>
  </si>
  <si>
    <t>Lopez</t>
  </si>
  <si>
    <t xml:space="preserve"> Eddy</t>
  </si>
  <si>
    <t xml:space="preserve"> (310) 555-7790</t>
  </si>
  <si>
    <t xml:space="preserve"> elopez2@alumni.rouxacademy.com</t>
  </si>
  <si>
    <t>Vincent</t>
  </si>
  <si>
    <t xml:space="preserve"> Francene</t>
  </si>
  <si>
    <t xml:space="preserve"> (330) 555-7364</t>
  </si>
  <si>
    <t xml:space="preserve"> fvincent@alumni.rouxacademy.com</t>
  </si>
  <si>
    <t>Good</t>
  </si>
  <si>
    <t xml:space="preserve"> Clyde</t>
  </si>
  <si>
    <t xml:space="preserve"> (636) 555-7195</t>
  </si>
  <si>
    <t xml:space="preserve"> cgood2@alumni.rouxacademy.com</t>
  </si>
  <si>
    <t>Stokes</t>
  </si>
  <si>
    <t xml:space="preserve"> Miki</t>
  </si>
  <si>
    <t xml:space="preserve"> (484) 555-0143</t>
  </si>
  <si>
    <t xml:space="preserve"> mstokes3@alumni.rouxacademy.com</t>
  </si>
  <si>
    <t xml:space="preserve"> Hee</t>
  </si>
  <si>
    <t xml:space="preserve"> (412) 555-4428</t>
  </si>
  <si>
    <t xml:space="preserve"> hvelez3@alumni.rouxacademy.com</t>
  </si>
  <si>
    <t>Hodges</t>
  </si>
  <si>
    <t xml:space="preserve"> Charleen</t>
  </si>
  <si>
    <t xml:space="preserve"> (260) 555-5920</t>
  </si>
  <si>
    <t xml:space="preserve"> chodges2@alumni.rouxacademy.com</t>
  </si>
  <si>
    <t xml:space="preserve"> Mae</t>
  </si>
  <si>
    <t xml:space="preserve"> (417) 555-0495</t>
  </si>
  <si>
    <t xml:space="preserve"> mlee2@alumni.rouxacademy.com</t>
  </si>
  <si>
    <t>Schmidt</t>
  </si>
  <si>
    <t xml:space="preserve"> Alejandrina</t>
  </si>
  <si>
    <t xml:space="preserve"> (831) 555-3800</t>
  </si>
  <si>
    <t xml:space="preserve"> aschmidt@alumni.rouxacademy.com</t>
  </si>
  <si>
    <t>Potter</t>
  </si>
  <si>
    <t xml:space="preserve"> Goldie</t>
  </si>
  <si>
    <t xml:space="preserve"> (713) 555-7809</t>
  </si>
  <si>
    <t xml:space="preserve"> gpotter2@alumni.rouxacademy.com</t>
  </si>
  <si>
    <t>Stark</t>
  </si>
  <si>
    <t xml:space="preserve"> Julene</t>
  </si>
  <si>
    <t xml:space="preserve"> (979) 555-9680</t>
  </si>
  <si>
    <t xml:space="preserve"> jstark2@alumni.rouxacademy.com</t>
  </si>
  <si>
    <t>Bowen</t>
  </si>
  <si>
    <t xml:space="preserve"> Adaline</t>
  </si>
  <si>
    <t xml:space="preserve"> (479) 555-0787</t>
  </si>
  <si>
    <t xml:space="preserve"> abowen2@alumni.rouxacademy.com</t>
  </si>
  <si>
    <t>Singleton</t>
  </si>
  <si>
    <t xml:space="preserve"> Setsuko</t>
  </si>
  <si>
    <t xml:space="preserve"> Nevada</t>
  </si>
  <si>
    <t xml:space="preserve"> (775) 555-9105</t>
  </si>
  <si>
    <t xml:space="preserve"> ssingleton@alumni.rouxacademy.com</t>
  </si>
  <si>
    <t>Curtis</t>
  </si>
  <si>
    <t xml:space="preserve"> Fredericka</t>
  </si>
  <si>
    <t xml:space="preserve"> Mississippi</t>
  </si>
  <si>
    <t xml:space="preserve"> (228) 555-0199</t>
  </si>
  <si>
    <t xml:space="preserve"> fcurtis2@alumni.rouxacademy.com</t>
  </si>
  <si>
    <t>Aguirre</t>
  </si>
  <si>
    <t xml:space="preserve"> Gema</t>
  </si>
  <si>
    <t xml:space="preserve"> (762) 555-0379</t>
  </si>
  <si>
    <t xml:space="preserve"> gaguirre@alumni.rouxacademy.com</t>
  </si>
  <si>
    <t xml:space="preserve"> Tobias</t>
  </si>
  <si>
    <t xml:space="preserve"> (571) 555-4382</t>
  </si>
  <si>
    <t xml:space="preserve"> tweaver@alumni.rouxacademy.com</t>
  </si>
  <si>
    <t>Mckay</t>
  </si>
  <si>
    <t xml:space="preserve"> Darline</t>
  </si>
  <si>
    <t xml:space="preserve"> (256) 555-1701</t>
  </si>
  <si>
    <t xml:space="preserve"> dmckay2@alumni.rouxacademy.com</t>
  </si>
  <si>
    <t>Ortega</t>
  </si>
  <si>
    <t xml:space="preserve"> Filiberto</t>
  </si>
  <si>
    <t xml:space="preserve"> (361) 555-3417</t>
  </si>
  <si>
    <t xml:space="preserve"> fortega2@alumni.rouxacademy.com</t>
  </si>
  <si>
    <t>Spencer</t>
  </si>
  <si>
    <t xml:space="preserve"> Tanesha</t>
  </si>
  <si>
    <t xml:space="preserve"> (559) 555-9260</t>
  </si>
  <si>
    <t xml:space="preserve"> tspencer2@alumni.rouxacademy.com</t>
  </si>
  <si>
    <t>Cabrera</t>
  </si>
  <si>
    <t xml:space="preserve"> Ha</t>
  </si>
  <si>
    <t xml:space="preserve"> (608) 555-6847</t>
  </si>
  <si>
    <t xml:space="preserve"> hcabrera@alumni.rouxacademy.com</t>
  </si>
  <si>
    <t>Cooley</t>
  </si>
  <si>
    <t xml:space="preserve"> Pete</t>
  </si>
  <si>
    <t xml:space="preserve"> (769) 555-7895</t>
  </si>
  <si>
    <t xml:space="preserve"> pcooley@alumni.rouxacademy.com</t>
  </si>
  <si>
    <t xml:space="preserve"> Grayce</t>
  </si>
  <si>
    <t xml:space="preserve"> (319) 555-1955</t>
  </si>
  <si>
    <t xml:space="preserve"> gmaxwell2@alumni.rouxacademy.com</t>
  </si>
  <si>
    <t>Cameron</t>
  </si>
  <si>
    <t xml:space="preserve"> Michele</t>
  </si>
  <si>
    <t xml:space="preserve"> (317) 555-8027</t>
  </si>
  <si>
    <t xml:space="preserve"> mcameron4@alumni.rouxacademy.com</t>
  </si>
  <si>
    <t>David</t>
  </si>
  <si>
    <t xml:space="preserve"> Vicky</t>
  </si>
  <si>
    <t xml:space="preserve"> (918) 555-2178</t>
  </si>
  <si>
    <t xml:space="preserve"> vdavid@alumni.rouxacademy.com</t>
  </si>
  <si>
    <t>Jacobson</t>
  </si>
  <si>
    <t xml:space="preserve"> Zane</t>
  </si>
  <si>
    <t xml:space="preserve"> Tennessee</t>
  </si>
  <si>
    <t xml:space="preserve"> (931) 555-4719</t>
  </si>
  <si>
    <t xml:space="preserve"> zjacobson@alumni.rouxacademy.com</t>
  </si>
  <si>
    <t xml:space="preserve"> Tony</t>
  </si>
  <si>
    <t xml:space="preserve"> North Carolina</t>
  </si>
  <si>
    <t xml:space="preserve"> (336) 555-7515</t>
  </si>
  <si>
    <t xml:space="preserve"> tmccarthy3@alumni.rouxacademy.com</t>
  </si>
  <si>
    <t>Lucas</t>
  </si>
  <si>
    <t xml:space="preserve"> Shannan</t>
  </si>
  <si>
    <t xml:space="preserve"> (612) 555-5792</t>
  </si>
  <si>
    <t xml:space="preserve"> slucas2@alumni.rouxacademy.com</t>
  </si>
  <si>
    <t>Silva</t>
  </si>
  <si>
    <t xml:space="preserve"> Renda</t>
  </si>
  <si>
    <t xml:space="preserve"> (585) 555-9562</t>
  </si>
  <si>
    <t xml:space="preserve"> rsilva@alumni.rouxacademy.com</t>
  </si>
  <si>
    <t>Neal</t>
  </si>
  <si>
    <t xml:space="preserve"> Zonia</t>
  </si>
  <si>
    <t xml:space="preserve"> Idaho</t>
  </si>
  <si>
    <t xml:space="preserve"> (208) 555-3962</t>
  </si>
  <si>
    <t xml:space="preserve"> zneal@alumni.rouxacademy.com</t>
  </si>
  <si>
    <t xml:space="preserve"> Italy</t>
  </si>
  <si>
    <t xml:space="preserve"> Lillian</t>
  </si>
  <si>
    <t xml:space="preserve"> Kansas</t>
  </si>
  <si>
    <t xml:space="preserve"> (913) 555-1164</t>
  </si>
  <si>
    <t xml:space="preserve"> lortega@alumni.rouxacademy.com</t>
  </si>
  <si>
    <t>Joseph</t>
  </si>
  <si>
    <t xml:space="preserve"> Janise</t>
  </si>
  <si>
    <t xml:space="preserve"> (954) 555-3131</t>
  </si>
  <si>
    <t xml:space="preserve"> jjoseph2@alumni.rouxacademy.com</t>
  </si>
  <si>
    <t>Snider</t>
  </si>
  <si>
    <t xml:space="preserve"> Maryellen</t>
  </si>
  <si>
    <t xml:space="preserve"> (414) 555-0385</t>
  </si>
  <si>
    <t xml:space="preserve"> msnider5@alumni.rouxacademy.com</t>
  </si>
  <si>
    <t>Vaughn</t>
  </si>
  <si>
    <t xml:space="preserve"> Prince</t>
  </si>
  <si>
    <t xml:space="preserve"> (859) 555-7206</t>
  </si>
  <si>
    <t xml:space="preserve"> pvaughn@alumni.rouxacademy.com</t>
  </si>
  <si>
    <t>Best</t>
  </si>
  <si>
    <t xml:space="preserve"> Dena</t>
  </si>
  <si>
    <t xml:space="preserve"> (618) 555-1001</t>
  </si>
  <si>
    <t xml:space="preserve"> dbest@alumni.rouxacademy.com</t>
  </si>
  <si>
    <t>Hoover</t>
  </si>
  <si>
    <t xml:space="preserve"> Percy</t>
  </si>
  <si>
    <t xml:space="preserve"> (337) 555-5995</t>
  </si>
  <si>
    <t xml:space="preserve"> phoover@alumni.rouxacademy.com</t>
  </si>
  <si>
    <t>Hess</t>
  </si>
  <si>
    <t xml:space="preserve"> Denice</t>
  </si>
  <si>
    <t xml:space="preserve"> (917) 555-8536</t>
  </si>
  <si>
    <t xml:space="preserve"> dhess@alumni.rouxacademy.com</t>
  </si>
  <si>
    <t>Morrison</t>
  </si>
  <si>
    <t xml:space="preserve"> Fernande</t>
  </si>
  <si>
    <t xml:space="preserve"> (863) 555-9697</t>
  </si>
  <si>
    <t xml:space="preserve"> fmorrison@alumni.rouxacademy.com</t>
  </si>
  <si>
    <t>Durham</t>
  </si>
  <si>
    <t xml:space="preserve"> Hui</t>
  </si>
  <si>
    <t xml:space="preserve"> Alaska</t>
  </si>
  <si>
    <t xml:space="preserve"> (907) 555-0219</t>
  </si>
  <si>
    <t xml:space="preserve"> hdurham@alumni.rouxacademy.com</t>
  </si>
  <si>
    <t>Thompson</t>
  </si>
  <si>
    <t xml:space="preserve"> Fletcher</t>
  </si>
  <si>
    <t xml:space="preserve"> (443) 555-2092</t>
  </si>
  <si>
    <t xml:space="preserve"> fthompson@alumni.rouxacademy.com</t>
  </si>
  <si>
    <t xml:space="preserve"> Lane</t>
  </si>
  <si>
    <t xml:space="preserve"> New Mexico</t>
  </si>
  <si>
    <t xml:space="preserve"> (505) 555-9220</t>
  </si>
  <si>
    <t xml:space="preserve"> lgilliam@alumni.rouxacademy.com</t>
  </si>
  <si>
    <t>Dickson</t>
  </si>
  <si>
    <t xml:space="preserve"> Merilyn</t>
  </si>
  <si>
    <t xml:space="preserve"> (305) 555-8941</t>
  </si>
  <si>
    <t xml:space="preserve"> mdickson3@alumni.rouxacademy.com</t>
  </si>
  <si>
    <t>Holden</t>
  </si>
  <si>
    <t xml:space="preserve"> Eve</t>
  </si>
  <si>
    <t xml:space="preserve"> (724) 555-2029</t>
  </si>
  <si>
    <t xml:space="preserve"> eholden3@alumni.rouxacademy.com</t>
  </si>
  <si>
    <t>Yang</t>
  </si>
  <si>
    <t xml:space="preserve"> Virgil</t>
  </si>
  <si>
    <t xml:space="preserve"> (517) 555-8639</t>
  </si>
  <si>
    <t xml:space="preserve"> vyang@alumni.rouxacademy.com</t>
  </si>
  <si>
    <t>Richards</t>
  </si>
  <si>
    <t xml:space="preserve"> Dong</t>
  </si>
  <si>
    <t xml:space="preserve"> (563) 555-5836</t>
  </si>
  <si>
    <t xml:space="preserve"> drichards2@alumni.rouxacademy.com</t>
  </si>
  <si>
    <t>Salinas</t>
  </si>
  <si>
    <t xml:space="preserve"> Azalee</t>
  </si>
  <si>
    <t xml:space="preserve"> (913) 555-0692</t>
  </si>
  <si>
    <t xml:space="preserve"> asalinas2@alumni.rouxacademy.com</t>
  </si>
  <si>
    <t>Dennis</t>
  </si>
  <si>
    <t xml:space="preserve"> Marcia</t>
  </si>
  <si>
    <t xml:space="preserve"> (331) 555-2980</t>
  </si>
  <si>
    <t xml:space="preserve"> mdennis2@alumni.rouxacademy.com</t>
  </si>
  <si>
    <t>Young</t>
  </si>
  <si>
    <t xml:space="preserve"> Roxy</t>
  </si>
  <si>
    <t xml:space="preserve"> (337) 555-1367</t>
  </si>
  <si>
    <t xml:space="preserve"> ryoung@alumni.rouxacademy.com</t>
  </si>
  <si>
    <t>Padilla</t>
  </si>
  <si>
    <t xml:space="preserve"> Tayna</t>
  </si>
  <si>
    <t xml:space="preserve"> (845) 555-6580</t>
  </si>
  <si>
    <t xml:space="preserve"> tpadilla3@alumni.rouxacademy.com</t>
  </si>
  <si>
    <t xml:space="preserve"> Rosia</t>
  </si>
  <si>
    <t xml:space="preserve"> (424) 555-6961</t>
  </si>
  <si>
    <t xml:space="preserve"> rwynn@alumni.rouxacademy.com</t>
  </si>
  <si>
    <t xml:space="preserve"> Yasmine</t>
  </si>
  <si>
    <t xml:space="preserve"> (412) 555-3098</t>
  </si>
  <si>
    <t xml:space="preserve"> ywalls@alumni.rouxacademy.com</t>
  </si>
  <si>
    <t>Knight</t>
  </si>
  <si>
    <t xml:space="preserve"> Dane</t>
  </si>
  <si>
    <t xml:space="preserve"> (442) 555-6801</t>
  </si>
  <si>
    <t xml:space="preserve"> dknight@alumni.rouxacademy.com</t>
  </si>
  <si>
    <t>Floyd</t>
  </si>
  <si>
    <t xml:space="preserve"> Brittney</t>
  </si>
  <si>
    <t xml:space="preserve"> (707) 555-1254</t>
  </si>
  <si>
    <t xml:space="preserve"> bfloyd@alumni.rouxacademy.com</t>
  </si>
  <si>
    <t>Keith</t>
  </si>
  <si>
    <t xml:space="preserve"> Carlee</t>
  </si>
  <si>
    <t xml:space="preserve"> Wyoming</t>
  </si>
  <si>
    <t xml:space="preserve"> (307) 555-0842</t>
  </si>
  <si>
    <t xml:space="preserve"> ckeith5@alumni.rouxacademy.com</t>
  </si>
  <si>
    <t>Simmons</t>
  </si>
  <si>
    <t xml:space="preserve"> Kristina</t>
  </si>
  <si>
    <t xml:space="preserve"> (225) 555-2603</t>
  </si>
  <si>
    <t xml:space="preserve"> ksimmons@alumni.rouxacademy.com</t>
  </si>
  <si>
    <t>Steele</t>
  </si>
  <si>
    <t xml:space="preserve"> Josue</t>
  </si>
  <si>
    <t xml:space="preserve"> (248) 555-5556</t>
  </si>
  <si>
    <t xml:space="preserve"> jsteele@alumni.rouxacademy.com</t>
  </si>
  <si>
    <t xml:space="preserve"> Wilton</t>
  </si>
  <si>
    <t xml:space="preserve"> (405) 555-4742</t>
  </si>
  <si>
    <t xml:space="preserve"> wpotter@alumni.rouxacademy.com</t>
  </si>
  <si>
    <t>Mcbride</t>
  </si>
  <si>
    <t xml:space="preserve"> Hollis</t>
  </si>
  <si>
    <t xml:space="preserve"> (843) 555-4169</t>
  </si>
  <si>
    <t xml:space="preserve"> hmcbride2@alumni.rouxacademy.com</t>
  </si>
  <si>
    <t>Ryan</t>
  </si>
  <si>
    <t xml:space="preserve"> Ute</t>
  </si>
  <si>
    <t xml:space="preserve"> (402) 555-2917</t>
  </si>
  <si>
    <t xml:space="preserve"> uryan@alumni.rouxacademy.com</t>
  </si>
  <si>
    <t>Castro</t>
  </si>
  <si>
    <t xml:space="preserve"> Golden</t>
  </si>
  <si>
    <t xml:space="preserve"> (410) 555-4479</t>
  </si>
  <si>
    <t xml:space="preserve"> gcastro@alumni.rouxacademy.com</t>
  </si>
  <si>
    <t>Pearson</t>
  </si>
  <si>
    <t xml:space="preserve"> Ayana</t>
  </si>
  <si>
    <t xml:space="preserve"> (601) 555-3615</t>
  </si>
  <si>
    <t xml:space="preserve"> apearson@alumni.rouxacademy.com</t>
  </si>
  <si>
    <t>Nielsen</t>
  </si>
  <si>
    <t xml:space="preserve"> Pedro</t>
  </si>
  <si>
    <t xml:space="preserve"> (940) 555-0867</t>
  </si>
  <si>
    <t xml:space="preserve"> pnielsen2@alumni.rouxacademy.com</t>
  </si>
  <si>
    <t>Middleton</t>
  </si>
  <si>
    <t xml:space="preserve"> Luther</t>
  </si>
  <si>
    <t xml:space="preserve"> (469) 555-3670</t>
  </si>
  <si>
    <t xml:space="preserve"> lmiddleton2@alumni.rouxacademy.com</t>
  </si>
  <si>
    <t>Mcfarland</t>
  </si>
  <si>
    <t xml:space="preserve"> Laci</t>
  </si>
  <si>
    <t xml:space="preserve"> (313) 555-4313</t>
  </si>
  <si>
    <t xml:space="preserve"> lmcfarland@alumni.rouxacademy.com</t>
  </si>
  <si>
    <t xml:space="preserve"> Danyelle</t>
  </si>
  <si>
    <t xml:space="preserve"> (330) 555-6515</t>
  </si>
  <si>
    <t xml:space="preserve"> dvance2@alumni.rouxacademy.com</t>
  </si>
  <si>
    <t xml:space="preserve"> South Africa</t>
  </si>
  <si>
    <t>Wooten</t>
  </si>
  <si>
    <t xml:space="preserve"> Natacha</t>
  </si>
  <si>
    <t xml:space="preserve"> (531) 555-5109</t>
  </si>
  <si>
    <t xml:space="preserve"> nwooten@alumni.rouxacademy.com</t>
  </si>
  <si>
    <t>Ingram</t>
  </si>
  <si>
    <t xml:space="preserve"> Roxane</t>
  </si>
  <si>
    <t xml:space="preserve"> New Hampshire</t>
  </si>
  <si>
    <t xml:space="preserve"> (603) 555-5786</t>
  </si>
  <si>
    <t xml:space="preserve"> ringram@alumni.rouxacademy.com</t>
  </si>
  <si>
    <t>Rios</t>
  </si>
  <si>
    <t xml:space="preserve"> Marline</t>
  </si>
  <si>
    <t xml:space="preserve"> (419) 555-6632</t>
  </si>
  <si>
    <t xml:space="preserve"> mrios2@alumni.rouxacademy.com</t>
  </si>
  <si>
    <t>Bowers</t>
  </si>
  <si>
    <t xml:space="preserve"> Brigid</t>
  </si>
  <si>
    <t xml:space="preserve"> (404) 555-2328</t>
  </si>
  <si>
    <t xml:space="preserve"> bbowers@alumni.rouxacademy.com</t>
  </si>
  <si>
    <t>Hendricks</t>
  </si>
  <si>
    <t xml:space="preserve"> Adan</t>
  </si>
  <si>
    <t xml:space="preserve"> (253) 555-8810</t>
  </si>
  <si>
    <t xml:space="preserve"> ahendricks3@alumni.rouxacademy.com</t>
  </si>
  <si>
    <t>Duffy</t>
  </si>
  <si>
    <t xml:space="preserve"> Yung</t>
  </si>
  <si>
    <t xml:space="preserve"> (971) 555-6007</t>
  </si>
  <si>
    <t xml:space="preserve"> yduffy2@alumni.rouxacademy.com</t>
  </si>
  <si>
    <t>Stephens</t>
  </si>
  <si>
    <t xml:space="preserve"> Evita</t>
  </si>
  <si>
    <t xml:space="preserve"> (636) 555-9075</t>
  </si>
  <si>
    <t xml:space="preserve"> estephens2@alumni.rouxacademy.com</t>
  </si>
  <si>
    <t>Marshall</t>
  </si>
  <si>
    <t xml:space="preserve"> Wan</t>
  </si>
  <si>
    <t xml:space="preserve"> (608) 555-8569</t>
  </si>
  <si>
    <t xml:space="preserve"> wmarshall@alumni.rouxacademy.com</t>
  </si>
  <si>
    <t>Doyle</t>
  </si>
  <si>
    <t xml:space="preserve"> Lavinia</t>
  </si>
  <si>
    <t xml:space="preserve"> (267) 555-6259</t>
  </si>
  <si>
    <t xml:space="preserve"> ldoyle@alumni.rouxacademy.com</t>
  </si>
  <si>
    <t>Hensley</t>
  </si>
  <si>
    <t xml:space="preserve"> Viola</t>
  </si>
  <si>
    <t xml:space="preserve"> (864) 555-5498</t>
  </si>
  <si>
    <t xml:space="preserve"> vhensley@alumni.rouxacademy.com</t>
  </si>
  <si>
    <t xml:space="preserve"> Eric</t>
  </si>
  <si>
    <t xml:space="preserve"> (641) 555-0838</t>
  </si>
  <si>
    <t xml:space="preserve"> emorrison@alumni.rouxacademy.com</t>
  </si>
  <si>
    <t>Cote</t>
  </si>
  <si>
    <t xml:space="preserve"> Fermin</t>
  </si>
  <si>
    <t xml:space="preserve"> (785) 555-9931</t>
  </si>
  <si>
    <t xml:space="preserve"> fcote2@alumni.rouxacademy.com</t>
  </si>
  <si>
    <t>Levine</t>
  </si>
  <si>
    <t xml:space="preserve"> Luella</t>
  </si>
  <si>
    <t xml:space="preserve"> (608) 555-7632</t>
  </si>
  <si>
    <t xml:space="preserve"> llevine4@alumni.rouxacademy.com</t>
  </si>
  <si>
    <t>House</t>
  </si>
  <si>
    <t xml:space="preserve"> Jenniffer</t>
  </si>
  <si>
    <t xml:space="preserve"> (218) 555-3505</t>
  </si>
  <si>
    <t xml:space="preserve"> jhouse4@alumni.rouxacademy.com</t>
  </si>
  <si>
    <t>Brock</t>
  </si>
  <si>
    <t xml:space="preserve"> Derek</t>
  </si>
  <si>
    <t xml:space="preserve"> (910) 555-0070</t>
  </si>
  <si>
    <t xml:space="preserve"> dbrock3@alumni.rouxacademy.com</t>
  </si>
  <si>
    <t>Hunter</t>
  </si>
  <si>
    <t xml:space="preserve"> Venetta</t>
  </si>
  <si>
    <t xml:space="preserve"> (215) 555-9092</t>
  </si>
  <si>
    <t xml:space="preserve"> vhunter@alumni.rouxacademy.com</t>
  </si>
  <si>
    <t>Roy</t>
  </si>
  <si>
    <t xml:space="preserve"> Delena</t>
  </si>
  <si>
    <t xml:space="preserve"> (870) 555-7185</t>
  </si>
  <si>
    <t xml:space="preserve"> droy@alumni.rouxacademy.com</t>
  </si>
  <si>
    <t>Porter</t>
  </si>
  <si>
    <t xml:space="preserve"> Berna</t>
  </si>
  <si>
    <t xml:space="preserve"> (231) 555-0613</t>
  </si>
  <si>
    <t xml:space="preserve"> bporter@alumni.rouxacademy.com</t>
  </si>
  <si>
    <t xml:space="preserve"> (770) 555-7253</t>
  </si>
  <si>
    <t xml:space="preserve"> hmueller@alumni.rouxacademy.com</t>
  </si>
  <si>
    <t xml:space="preserve"> France</t>
  </si>
  <si>
    <t xml:space="preserve"> Jay</t>
  </si>
  <si>
    <t xml:space="preserve"> (318) 555-2957</t>
  </si>
  <si>
    <t xml:space="preserve"> jmckay2@alumni.rouxacademy.com</t>
  </si>
  <si>
    <t xml:space="preserve"> Dortha</t>
  </si>
  <si>
    <t xml:space="preserve"> (713) 555-8186</t>
  </si>
  <si>
    <t xml:space="preserve"> dshannon2@alumni.rouxacademy.com</t>
  </si>
  <si>
    <t>Valencia</t>
  </si>
  <si>
    <t xml:space="preserve"> Isobel</t>
  </si>
  <si>
    <t xml:space="preserve"> (713) 555-6174</t>
  </si>
  <si>
    <t xml:space="preserve"> ivalencia2@alumni.rouxacademy.com</t>
  </si>
  <si>
    <t>Hinton</t>
  </si>
  <si>
    <t xml:space="preserve"> Roxie</t>
  </si>
  <si>
    <t xml:space="preserve"> (586) 555-7761</t>
  </si>
  <si>
    <t xml:space="preserve"> rhinton2@alumni.rouxacademy.com</t>
  </si>
  <si>
    <t>Duncan</t>
  </si>
  <si>
    <t xml:space="preserve"> Lacie</t>
  </si>
  <si>
    <t xml:space="preserve"> (409) 555-2770</t>
  </si>
  <si>
    <t xml:space="preserve"> lduncan2@alumni.rouxacademy.com</t>
  </si>
  <si>
    <t>Saunders</t>
  </si>
  <si>
    <t xml:space="preserve"> Iluminada</t>
  </si>
  <si>
    <t xml:space="preserve"> (251) 555-8062</t>
  </si>
  <si>
    <t xml:space="preserve"> isaunders2@alumni.rouxacademy.com</t>
  </si>
  <si>
    <t>Morin</t>
  </si>
  <si>
    <t xml:space="preserve"> Lupita</t>
  </si>
  <si>
    <t xml:space="preserve"> (417) 555-0396</t>
  </si>
  <si>
    <t xml:space="preserve"> lmorin3@alumni.rouxacademy.com</t>
  </si>
  <si>
    <t xml:space="preserve"> Lawrence</t>
  </si>
  <si>
    <t xml:space="preserve"> (520) 555-4279</t>
  </si>
  <si>
    <t xml:space="preserve"> lgood3@alumni.rouxacademy.com</t>
  </si>
  <si>
    <t>Quinn</t>
  </si>
  <si>
    <t xml:space="preserve"> Marnie</t>
  </si>
  <si>
    <t xml:space="preserve"> (610) 555-5218</t>
  </si>
  <si>
    <t xml:space="preserve"> mquinn3@alumni.rouxacademy.com</t>
  </si>
  <si>
    <t>Bradshaw</t>
  </si>
  <si>
    <t xml:space="preserve"> Emilio</t>
  </si>
  <si>
    <t xml:space="preserve"> (857) 555-3607</t>
  </si>
  <si>
    <t xml:space="preserve"> ebradshaw2@alumni.rouxacademy.com</t>
  </si>
  <si>
    <t>Petty</t>
  </si>
  <si>
    <t xml:space="preserve"> Curtis</t>
  </si>
  <si>
    <t xml:space="preserve"> (414) 555-2758</t>
  </si>
  <si>
    <t xml:space="preserve"> cpetty@alumni.rouxacademy.com</t>
  </si>
  <si>
    <t xml:space="preserve"> Tabetha</t>
  </si>
  <si>
    <t xml:space="preserve"> Rhode Island</t>
  </si>
  <si>
    <t xml:space="preserve"> (401) 555-8544</t>
  </si>
  <si>
    <t xml:space="preserve"> tbecker@alumni.rouxacademy.com</t>
  </si>
  <si>
    <t>Salas</t>
  </si>
  <si>
    <t xml:space="preserve"> Vicente</t>
  </si>
  <si>
    <t xml:space="preserve"> (254) 555-0518</t>
  </si>
  <si>
    <t xml:space="preserve"> vsalas@alumni.rouxacademy.com</t>
  </si>
  <si>
    <t>Flynn</t>
  </si>
  <si>
    <t xml:space="preserve"> Towanda</t>
  </si>
  <si>
    <t xml:space="preserve"> (301) 555-6656</t>
  </si>
  <si>
    <t xml:space="preserve"> tflynn3@alumni.rouxacademy.com</t>
  </si>
  <si>
    <t>Hogan</t>
  </si>
  <si>
    <t xml:space="preserve"> Erick</t>
  </si>
  <si>
    <t xml:space="preserve"> (270) 555-3417</t>
  </si>
  <si>
    <t xml:space="preserve"> ehogan@alumni.rouxacademy.com</t>
  </si>
  <si>
    <t xml:space="preserve"> Beula</t>
  </si>
  <si>
    <t xml:space="preserve"> (913) 555-4492</t>
  </si>
  <si>
    <t xml:space="preserve"> bknight2@alumni.rouxacademy.com</t>
  </si>
  <si>
    <t>Charles</t>
  </si>
  <si>
    <t xml:space="preserve"> Henriette</t>
  </si>
  <si>
    <t xml:space="preserve"> (952) 555-4761</t>
  </si>
  <si>
    <t xml:space="preserve"> hcharles@alumni.rouxacademy.com</t>
  </si>
  <si>
    <t>Maynard</t>
  </si>
  <si>
    <t xml:space="preserve"> Roseanna</t>
  </si>
  <si>
    <t xml:space="preserve"> (630) 555-3817</t>
  </si>
  <si>
    <t xml:space="preserve"> rmaynard@alumni.rouxacademy.com</t>
  </si>
  <si>
    <t>Mcgowan</t>
  </si>
  <si>
    <t xml:space="preserve"> Desire</t>
  </si>
  <si>
    <t xml:space="preserve"> (707) 555-8087</t>
  </si>
  <si>
    <t xml:space="preserve"> dmcgowan2@alumni.rouxacademy.com</t>
  </si>
  <si>
    <t>Barker</t>
  </si>
  <si>
    <t xml:space="preserve"> Leia</t>
  </si>
  <si>
    <t xml:space="preserve"> (504) 555-8378</t>
  </si>
  <si>
    <t xml:space="preserve"> lbarker@alumni.rouxacademy.com</t>
  </si>
  <si>
    <t xml:space="preserve"> Lucinda</t>
  </si>
  <si>
    <t xml:space="preserve"> (806) 555-1537</t>
  </si>
  <si>
    <t xml:space="preserve"> lryan@alumni.rouxacademy.com</t>
  </si>
  <si>
    <t>Preston</t>
  </si>
  <si>
    <t xml:space="preserve"> Johnsie</t>
  </si>
  <si>
    <t xml:space="preserve"> (469) 555-9377</t>
  </si>
  <si>
    <t xml:space="preserve"> jpreston@alumni.rouxacademy.com</t>
  </si>
  <si>
    <t>Weeks</t>
  </si>
  <si>
    <t xml:space="preserve"> Anthony</t>
  </si>
  <si>
    <t xml:space="preserve"> (636) 555-0518</t>
  </si>
  <si>
    <t xml:space="preserve"> aweeks@alumni.rouxacademy.com</t>
  </si>
  <si>
    <t>Vaughan</t>
  </si>
  <si>
    <t xml:space="preserve"> Nila</t>
  </si>
  <si>
    <t xml:space="preserve"> (970) 555-8441</t>
  </si>
  <si>
    <t xml:space="preserve"> nvaughan2@alumni.rouxacademy.com</t>
  </si>
  <si>
    <t xml:space="preserve"> Lita</t>
  </si>
  <si>
    <t xml:space="preserve"> (610) 555-2326</t>
  </si>
  <si>
    <t xml:space="preserve"> ljames2@alumni.rouxacademy.com</t>
  </si>
  <si>
    <t>Tanner</t>
  </si>
  <si>
    <t xml:space="preserve"> Tilda</t>
  </si>
  <si>
    <t xml:space="preserve"> (276) 555-1479</t>
  </si>
  <si>
    <t xml:space="preserve"> ttanner@alumni.rouxacademy.com</t>
  </si>
  <si>
    <t>Emerson</t>
  </si>
  <si>
    <t xml:space="preserve"> Onita</t>
  </si>
  <si>
    <t xml:space="preserve"> (785) 555-0978</t>
  </si>
  <si>
    <t xml:space="preserve"> oemerson@alumni.rouxacademy.com</t>
  </si>
  <si>
    <t>Humphrey</t>
  </si>
  <si>
    <t xml:space="preserve"> Alexander</t>
  </si>
  <si>
    <t xml:space="preserve"> (815) 555-3302</t>
  </si>
  <si>
    <t xml:space="preserve"> ahumphrey3@alumni.rouxacademy.com</t>
  </si>
  <si>
    <t>Bridges</t>
  </si>
  <si>
    <t xml:space="preserve"> Cyndy</t>
  </si>
  <si>
    <t xml:space="preserve"> (319) 555-8842</t>
  </si>
  <si>
    <t xml:space="preserve"> cbridges3@alumni.rouxacademy.com</t>
  </si>
  <si>
    <t>English</t>
  </si>
  <si>
    <t xml:space="preserve"> Ignacia</t>
  </si>
  <si>
    <t xml:space="preserve"> (586) 555-8698</t>
  </si>
  <si>
    <t xml:space="preserve"> ienglish@alumni.rouxacademy.com</t>
  </si>
  <si>
    <t>Hobbs</t>
  </si>
  <si>
    <t xml:space="preserve"> Lorelei</t>
  </si>
  <si>
    <t xml:space="preserve"> (941) 555-0246</t>
  </si>
  <si>
    <t xml:space="preserve"> lhobbs3@alumni.rouxacademy.com</t>
  </si>
  <si>
    <t>Sellers</t>
  </si>
  <si>
    <t xml:space="preserve"> Berenice</t>
  </si>
  <si>
    <t xml:space="preserve"> (661) 555-5383</t>
  </si>
  <si>
    <t xml:space="preserve"> bsellers@alumni.rouxacademy.com</t>
  </si>
  <si>
    <t>Cantu</t>
  </si>
  <si>
    <t xml:space="preserve"> Judson</t>
  </si>
  <si>
    <t xml:space="preserve"> (682) 555-3390</t>
  </si>
  <si>
    <t xml:space="preserve"> jcantu@alumni.rouxacademy.com</t>
  </si>
  <si>
    <t xml:space="preserve"> Tory</t>
  </si>
  <si>
    <t xml:space="preserve"> (330) 555-7974</t>
  </si>
  <si>
    <t xml:space="preserve"> tmarshall@alumni.rouxacademy.com</t>
  </si>
  <si>
    <t>Oneal</t>
  </si>
  <si>
    <t xml:space="preserve"> (402) 555-9971</t>
  </si>
  <si>
    <t xml:space="preserve"> foneal@alumni.rouxacademy.com</t>
  </si>
  <si>
    <t>Perez</t>
  </si>
  <si>
    <t xml:space="preserve"> Clora</t>
  </si>
  <si>
    <t xml:space="preserve"> (947) 555-7813</t>
  </si>
  <si>
    <t xml:space="preserve"> cperez@alumni.rouxacademy.com</t>
  </si>
  <si>
    <t>Gaines</t>
  </si>
  <si>
    <t xml:space="preserve"> Leighann</t>
  </si>
  <si>
    <t xml:space="preserve"> (657) 555-6729</t>
  </si>
  <si>
    <t xml:space="preserve"> lgaines2@alumni.rouxacademy.com</t>
  </si>
  <si>
    <t>Velazquez</t>
  </si>
  <si>
    <t xml:space="preserve"> Nolan</t>
  </si>
  <si>
    <t xml:space="preserve"> (561) 555-8501</t>
  </si>
  <si>
    <t xml:space="preserve"> nvelazquez@alumni.rouxacademy.com</t>
  </si>
  <si>
    <t>Mcintyre</t>
  </si>
  <si>
    <t xml:space="preserve"> (520) 555-8615</t>
  </si>
  <si>
    <t xml:space="preserve"> cmcintyre2@alumni.rouxacademy.com</t>
  </si>
  <si>
    <t>Romero</t>
  </si>
  <si>
    <t xml:space="preserve"> Gianna</t>
  </si>
  <si>
    <t xml:space="preserve"> (478) 555-3107</t>
  </si>
  <si>
    <t xml:space="preserve"> gromero@alumni.rouxacademy.com</t>
  </si>
  <si>
    <t>Kerr</t>
  </si>
  <si>
    <t xml:space="preserve"> Dwight</t>
  </si>
  <si>
    <t xml:space="preserve"> (561) 555-8896</t>
  </si>
  <si>
    <t xml:space="preserve"> dkerr@alumni.rouxacademy.com</t>
  </si>
  <si>
    <t>Mcneil</t>
  </si>
  <si>
    <t xml:space="preserve"> Alex</t>
  </si>
  <si>
    <t xml:space="preserve"> (360) 555-7111</t>
  </si>
  <si>
    <t xml:space="preserve"> amcneil@alumni.rouxacademy.com</t>
  </si>
  <si>
    <t>Meyer</t>
  </si>
  <si>
    <t xml:space="preserve"> Faith</t>
  </si>
  <si>
    <t xml:space="preserve"> (240) 555-4908</t>
  </si>
  <si>
    <t xml:space="preserve"> fmeyer2@alumni.rouxacademy.com</t>
  </si>
  <si>
    <t>Hutchinson</t>
  </si>
  <si>
    <t xml:space="preserve"> Josefine</t>
  </si>
  <si>
    <t xml:space="preserve"> (561) 555-5172</t>
  </si>
  <si>
    <t xml:space="preserve"> jhutchinson@alumni.rouxacademy.com</t>
  </si>
  <si>
    <t>Payne</t>
  </si>
  <si>
    <t xml:space="preserve"> Suzy</t>
  </si>
  <si>
    <t xml:space="preserve"> (305) 555-0596</t>
  </si>
  <si>
    <t xml:space="preserve"> spayne4@alumni.rouxacademy.com</t>
  </si>
  <si>
    <t>Nieves</t>
  </si>
  <si>
    <t xml:space="preserve"> Madelene</t>
  </si>
  <si>
    <t xml:space="preserve"> (509) 555-4350</t>
  </si>
  <si>
    <t xml:space="preserve"> mnieves3@alumni.rouxacademy.com</t>
  </si>
  <si>
    <t>Santana</t>
  </si>
  <si>
    <t xml:space="preserve"> Cody</t>
  </si>
  <si>
    <t xml:space="preserve"> (843) 555-9918</t>
  </si>
  <si>
    <t xml:space="preserve"> csantana@alumni.rouxacademy.com</t>
  </si>
  <si>
    <t>Hull</t>
  </si>
  <si>
    <t xml:space="preserve"> Pricilla</t>
  </si>
  <si>
    <t xml:space="preserve"> (513) 555-3291</t>
  </si>
  <si>
    <t xml:space="preserve"> phull@alumni.rouxacademy.com</t>
  </si>
  <si>
    <t>Gill</t>
  </si>
  <si>
    <t xml:space="preserve"> Cary</t>
  </si>
  <si>
    <t xml:space="preserve"> (918) 555-6880</t>
  </si>
  <si>
    <t xml:space="preserve"> cgill2@alumni.rouxacademy.com</t>
  </si>
  <si>
    <t>Vega</t>
  </si>
  <si>
    <t xml:space="preserve"> Dinah</t>
  </si>
  <si>
    <t xml:space="preserve"> (903) 555-4783</t>
  </si>
  <si>
    <t xml:space="preserve"> dvega@alumni.rouxacademy.com</t>
  </si>
  <si>
    <t>Myers</t>
  </si>
  <si>
    <t xml:space="preserve"> Ardella</t>
  </si>
  <si>
    <t xml:space="preserve"> (234) 555-5821</t>
  </si>
  <si>
    <t xml:space="preserve"> amyers2@alumni.rouxacademy.com</t>
  </si>
  <si>
    <t>Ware</t>
  </si>
  <si>
    <t xml:space="preserve"> Carlyn</t>
  </si>
  <si>
    <t xml:space="preserve"> Washington D.C.</t>
  </si>
  <si>
    <t xml:space="preserve"> (202) 555-5866</t>
  </si>
  <si>
    <t xml:space="preserve"> cware3@alumni.rouxacademy.com</t>
  </si>
  <si>
    <t xml:space="preserve"> Shayne</t>
  </si>
  <si>
    <t xml:space="preserve"> (906) 555-2743</t>
  </si>
  <si>
    <t xml:space="preserve"> swaters4@alumni.rouxacademy.com</t>
  </si>
  <si>
    <t>Riggs</t>
  </si>
  <si>
    <t xml:space="preserve"> Moon</t>
  </si>
  <si>
    <t xml:space="preserve"> (310) 555-1076</t>
  </si>
  <si>
    <t xml:space="preserve"> mriggs3@alumni.rouxacademy.com</t>
  </si>
  <si>
    <t>Kirkland</t>
  </si>
  <si>
    <t xml:space="preserve"> Lawanda</t>
  </si>
  <si>
    <t xml:space="preserve"> (276) 555-6488</t>
  </si>
  <si>
    <t xml:space="preserve"> lkirkland@alumni.rouxacademy.com</t>
  </si>
  <si>
    <t>Head</t>
  </si>
  <si>
    <t xml:space="preserve"> Carroll</t>
  </si>
  <si>
    <t xml:space="preserve"> (214) 555-8827</t>
  </si>
  <si>
    <t xml:space="preserve"> chead@alumni.rouxacademy.com</t>
  </si>
  <si>
    <t>Hood</t>
  </si>
  <si>
    <t xml:space="preserve"> Leigh</t>
  </si>
  <si>
    <t xml:space="preserve"> (980) 555-4598</t>
  </si>
  <si>
    <t xml:space="preserve"> lhood3@alumni.rouxacademy.com</t>
  </si>
  <si>
    <t>Blake</t>
  </si>
  <si>
    <t xml:space="preserve"> Lovie</t>
  </si>
  <si>
    <t xml:space="preserve"> (878) 555-5713</t>
  </si>
  <si>
    <t xml:space="preserve"> lblake@alumni.rouxacademy.com</t>
  </si>
  <si>
    <t>Roberts</t>
  </si>
  <si>
    <t xml:space="preserve"> Nanci</t>
  </si>
  <si>
    <t xml:space="preserve"> (940) 555-6199</t>
  </si>
  <si>
    <t xml:space="preserve"> nroberts2@alumni.rouxacademy.com</t>
  </si>
  <si>
    <t>Harrison</t>
  </si>
  <si>
    <t xml:space="preserve"> Eliza</t>
  </si>
  <si>
    <t xml:space="preserve"> (859) 555-1250</t>
  </si>
  <si>
    <t xml:space="preserve"> eharrison2@alumni.rouxacademy.com</t>
  </si>
  <si>
    <t>Avery</t>
  </si>
  <si>
    <t xml:space="preserve"> Elwanda</t>
  </si>
  <si>
    <t xml:space="preserve"> (559) 555-7937</t>
  </si>
  <si>
    <t xml:space="preserve"> eavery@alumni.rouxacademy.com</t>
  </si>
  <si>
    <t>Alston</t>
  </si>
  <si>
    <t xml:space="preserve"> (443) 555-9148</t>
  </si>
  <si>
    <t xml:space="preserve"> ralston@alumni.rouxacademy.com</t>
  </si>
  <si>
    <t>Clemons</t>
  </si>
  <si>
    <t xml:space="preserve"> Ona</t>
  </si>
  <si>
    <t xml:space="preserve"> (432) 555-0826</t>
  </si>
  <si>
    <t xml:space="preserve"> oclemons@alumni.rouxacademy.com</t>
  </si>
  <si>
    <t xml:space="preserve"> Hiroko</t>
  </si>
  <si>
    <t xml:space="preserve"> (201) 555-6995</t>
  </si>
  <si>
    <t xml:space="preserve"> hpayne2@alumni.rouxacademy.com</t>
  </si>
  <si>
    <t xml:space="preserve"> Florance</t>
  </si>
  <si>
    <t xml:space="preserve"> (571) 555-2538</t>
  </si>
  <si>
    <t xml:space="preserve"> fbyers@alumni.rouxacademy.com</t>
  </si>
  <si>
    <t>Kelly</t>
  </si>
  <si>
    <t xml:space="preserve"> (901) 555-1628</t>
  </si>
  <si>
    <t xml:space="preserve"> nkelly@alumni.rouxacademy.com</t>
  </si>
  <si>
    <t>Bass</t>
  </si>
  <si>
    <t xml:space="preserve"> Cole</t>
  </si>
  <si>
    <t xml:space="preserve"> (773) 555-8955</t>
  </si>
  <si>
    <t xml:space="preserve"> cbass@alumni.rouxacademy.com</t>
  </si>
  <si>
    <t>Adams</t>
  </si>
  <si>
    <t xml:space="preserve"> Nicola</t>
  </si>
  <si>
    <t xml:space="preserve"> (231) 555-1211</t>
  </si>
  <si>
    <t xml:space="preserve"> nadams@alumni.rouxacademy.com</t>
  </si>
  <si>
    <t>Massey</t>
  </si>
  <si>
    <t xml:space="preserve"> Lisha</t>
  </si>
  <si>
    <t xml:space="preserve"> (509) 555-1003</t>
  </si>
  <si>
    <t xml:space="preserve"> lmassey@alumni.rouxacademy.com</t>
  </si>
  <si>
    <t>Dillon</t>
  </si>
  <si>
    <t xml:space="preserve"> Lory</t>
  </si>
  <si>
    <t xml:space="preserve"> (808) 555-0420</t>
  </si>
  <si>
    <t xml:space="preserve"> ldillon2@alumni.rouxacademy.com</t>
  </si>
  <si>
    <t>Goodman</t>
  </si>
  <si>
    <t xml:space="preserve"> (202) 555-0435</t>
  </si>
  <si>
    <t xml:space="preserve"> mgoodman@alumni.rouxacademy.com</t>
  </si>
  <si>
    <t>Christian</t>
  </si>
  <si>
    <t xml:space="preserve"> Katelin</t>
  </si>
  <si>
    <t xml:space="preserve"> (914) 555-8049</t>
  </si>
  <si>
    <t xml:space="preserve"> kchristian2@alumni.rouxacademy.com</t>
  </si>
  <si>
    <t>Zamora</t>
  </si>
  <si>
    <t xml:space="preserve"> Holley</t>
  </si>
  <si>
    <t xml:space="preserve"> (947) 555-4775</t>
  </si>
  <si>
    <t xml:space="preserve"> hzamora@alumni.rouxacademy.com</t>
  </si>
  <si>
    <t>Pacheco</t>
  </si>
  <si>
    <t xml:space="preserve"> Titus</t>
  </si>
  <si>
    <t xml:space="preserve"> (574) 555-0467</t>
  </si>
  <si>
    <t xml:space="preserve"> tpacheco@alumni.rouxacademy.com</t>
  </si>
  <si>
    <t>Cooper</t>
  </si>
  <si>
    <t xml:space="preserve"> Carina</t>
  </si>
  <si>
    <t xml:space="preserve"> (435) 555-7843</t>
  </si>
  <si>
    <t xml:space="preserve"> ccooper5@alumni.rouxacademy.com</t>
  </si>
  <si>
    <t>Barrett</t>
  </si>
  <si>
    <t xml:space="preserve"> Sidney</t>
  </si>
  <si>
    <t xml:space="preserve"> (848) 555-0710</t>
  </si>
  <si>
    <t xml:space="preserve"> sbarrett@alumni.rouxacademy.com</t>
  </si>
  <si>
    <t>Stafford</t>
  </si>
  <si>
    <t xml:space="preserve"> Russel</t>
  </si>
  <si>
    <t xml:space="preserve"> (845) 555-7855</t>
  </si>
  <si>
    <t xml:space="preserve"> rstafford2@alumni.rouxacademy.com</t>
  </si>
  <si>
    <t>Mccormick</t>
  </si>
  <si>
    <t xml:space="preserve"> Carrol</t>
  </si>
  <si>
    <t xml:space="preserve"> (931) 555-6087</t>
  </si>
  <si>
    <t xml:space="preserve"> cmccormick2@alumni.rouxacademy.com</t>
  </si>
  <si>
    <t>Ferguson</t>
  </si>
  <si>
    <t xml:space="preserve"> Kendall</t>
  </si>
  <si>
    <t xml:space="preserve"> (662) 555-8757</t>
  </si>
  <si>
    <t xml:space="preserve"> kferguson@alumni.rouxacademy.com</t>
  </si>
  <si>
    <t>Mcknight</t>
  </si>
  <si>
    <t xml:space="preserve"> Ferdinand</t>
  </si>
  <si>
    <t xml:space="preserve"> (337) 555-8401</t>
  </si>
  <si>
    <t xml:space="preserve"> fmcknight@alumni.rouxacademy.com</t>
  </si>
  <si>
    <t>Moss</t>
  </si>
  <si>
    <t xml:space="preserve"> Lesha</t>
  </si>
  <si>
    <t xml:space="preserve"> (949) 555-8191</t>
  </si>
  <si>
    <t xml:space="preserve"> lmoss@alumni.rouxacademy.com</t>
  </si>
  <si>
    <t xml:space="preserve"> Photography</t>
  </si>
  <si>
    <t xml:space="preserve"> Sweden</t>
  </si>
  <si>
    <t xml:space="preserve"> Shiela</t>
  </si>
  <si>
    <t xml:space="preserve"> (401) 555-2131</t>
  </si>
  <si>
    <t xml:space="preserve"> smeyer@alumni.rouxacademy.com</t>
  </si>
  <si>
    <t>Kelley</t>
  </si>
  <si>
    <t xml:space="preserve"> Darcey</t>
  </si>
  <si>
    <t xml:space="preserve"> (505) 555-9879</t>
  </si>
  <si>
    <t xml:space="preserve"> dkelley@alumni.rouxacademy.com</t>
  </si>
  <si>
    <t>Wagner</t>
  </si>
  <si>
    <t xml:space="preserve"> Lavern</t>
  </si>
  <si>
    <t xml:space="preserve"> (325) 555-4871</t>
  </si>
  <si>
    <t xml:space="preserve"> lwagner@alumni.rouxacademy.com</t>
  </si>
  <si>
    <t>Bradford</t>
  </si>
  <si>
    <t xml:space="preserve"> Annie</t>
  </si>
  <si>
    <t xml:space="preserve"> (203) 555-9394</t>
  </si>
  <si>
    <t xml:space="preserve"> abradford@alumni.rouxacademy.com</t>
  </si>
  <si>
    <t>Blackburn</t>
  </si>
  <si>
    <t xml:space="preserve"> Beulah</t>
  </si>
  <si>
    <t xml:space="preserve"> (802) 555-7077</t>
  </si>
  <si>
    <t xml:space="preserve"> bblackburn@alumni.rouxacademy.com</t>
  </si>
  <si>
    <t>Perry</t>
  </si>
  <si>
    <t xml:space="preserve"> (870) 555-5385</t>
  </si>
  <si>
    <t xml:space="preserve"> aperry@alumni.rouxacademy.com</t>
  </si>
  <si>
    <t>Mills</t>
  </si>
  <si>
    <t xml:space="preserve"> Marcene</t>
  </si>
  <si>
    <t xml:space="preserve"> (617) 555-4375</t>
  </si>
  <si>
    <t xml:space="preserve"> mmills@alumni.rouxacademy.com</t>
  </si>
  <si>
    <t>Norman</t>
  </si>
  <si>
    <t xml:space="preserve"> Judie</t>
  </si>
  <si>
    <t xml:space="preserve"> (302) 555-0016</t>
  </si>
  <si>
    <t xml:space="preserve"> jnorman@alumni.rouxacademy.com</t>
  </si>
  <si>
    <t xml:space="preserve"> Toby</t>
  </si>
  <si>
    <t xml:space="preserve"> (740) 555-5477</t>
  </si>
  <si>
    <t xml:space="preserve"> tfowler@alumni.rouxacademy.com</t>
  </si>
  <si>
    <t xml:space="preserve"> Lazaro</t>
  </si>
  <si>
    <t xml:space="preserve"> (202) 555-4164</t>
  </si>
  <si>
    <t xml:space="preserve"> loneal@alumni.rouxacademy.com</t>
  </si>
  <si>
    <t>Giles</t>
  </si>
  <si>
    <t xml:space="preserve"> Veda</t>
  </si>
  <si>
    <t xml:space="preserve"> (918) 555-4195</t>
  </si>
  <si>
    <t xml:space="preserve"> vgiles@alumni.rouxacademy.com</t>
  </si>
  <si>
    <t>Reid</t>
  </si>
  <si>
    <t xml:space="preserve"> Nelida</t>
  </si>
  <si>
    <t xml:space="preserve"> (412) 555-4073</t>
  </si>
  <si>
    <t xml:space="preserve"> nreid@alumni.rouxacademy.com</t>
  </si>
  <si>
    <t>Livingston</t>
  </si>
  <si>
    <t xml:space="preserve"> (714) 555-8918</t>
  </si>
  <si>
    <t xml:space="preserve"> glivingston@alumni.rouxacademy.com</t>
  </si>
  <si>
    <t xml:space="preserve"> Janella</t>
  </si>
  <si>
    <t xml:space="preserve"> (475) 555-9023</t>
  </si>
  <si>
    <t xml:space="preserve"> jmaynard@alumni.rouxacademy.com</t>
  </si>
  <si>
    <t xml:space="preserve"> Andra</t>
  </si>
  <si>
    <t xml:space="preserve"> (520) 555-3871</t>
  </si>
  <si>
    <t xml:space="preserve"> afrazier@alumni.rouxacademy.com</t>
  </si>
  <si>
    <t xml:space="preserve"> Stephenie</t>
  </si>
  <si>
    <t xml:space="preserve"> (724) 555-4205</t>
  </si>
  <si>
    <t xml:space="preserve"> szamora@alumni.rouxacademy.com</t>
  </si>
  <si>
    <t>id</t>
  </si>
  <si>
    <r>
      <t xml:space="preserve">Add the following </t>
    </r>
    <r>
      <rPr>
        <b/>
        <sz val="11"/>
        <color theme="1"/>
        <rFont val="Calibri"/>
        <family val="2"/>
        <scheme val="minor"/>
      </rPr>
      <t>Document Properties</t>
    </r>
    <r>
      <rPr>
        <sz val="11"/>
        <color theme="1"/>
        <rFont val="Calibri"/>
        <family val="2"/>
        <scheme val="minor"/>
      </rPr>
      <t xml:space="preserve">:   </t>
    </r>
    <r>
      <rPr>
        <b/>
        <i/>
        <sz val="11"/>
        <color theme="1"/>
        <rFont val="Calibri"/>
        <family val="2"/>
        <scheme val="minor"/>
      </rPr>
      <t>Comment: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"</t>
    </r>
    <r>
      <rPr>
        <b/>
        <i/>
        <u/>
        <sz val="11"/>
        <color theme="1"/>
        <rFont val="Calibri"/>
        <family val="2"/>
        <scheme val="minor"/>
      </rPr>
      <t>MOS Practice Exam</t>
    </r>
    <r>
      <rPr>
        <b/>
        <i/>
        <sz val="11"/>
        <color theme="1"/>
        <rFont val="Calibri"/>
        <family val="2"/>
        <scheme val="minor"/>
      </rPr>
      <t xml:space="preserve">" </t>
    </r>
    <r>
      <rPr>
        <sz val="11"/>
        <color theme="1"/>
        <rFont val="Calibri"/>
        <family val="2"/>
        <scheme val="minor"/>
      </rPr>
      <t xml:space="preserve">and </t>
    </r>
    <r>
      <rPr>
        <b/>
        <i/>
        <sz val="11"/>
        <color theme="1"/>
        <rFont val="Calibri"/>
        <family val="2"/>
        <scheme val="minor"/>
      </rPr>
      <t>Category:</t>
    </r>
    <r>
      <rPr>
        <sz val="11"/>
        <color theme="1"/>
        <rFont val="Calibri"/>
        <family val="2"/>
        <scheme val="minor"/>
      </rPr>
      <t xml:space="preserve">  "</t>
    </r>
    <r>
      <rPr>
        <b/>
        <i/>
        <u/>
        <sz val="11"/>
        <color theme="1"/>
        <rFont val="Calibri"/>
        <family val="2"/>
        <scheme val="minor"/>
      </rPr>
      <t>Excel 365</t>
    </r>
    <r>
      <rPr>
        <sz val="11"/>
        <color theme="1"/>
        <rFont val="Calibri"/>
        <family val="2"/>
        <scheme val="minor"/>
      </rPr>
      <t>".</t>
    </r>
  </si>
  <si>
    <r>
      <t xml:space="preserve">Rotate the headings on the </t>
    </r>
    <r>
      <rPr>
        <b/>
        <i/>
        <sz val="12"/>
        <color theme="1"/>
        <rFont val="Calibri"/>
        <family val="2"/>
        <scheme val="minor"/>
      </rPr>
      <t>Alternate</t>
    </r>
    <r>
      <rPr>
        <sz val="12"/>
        <color theme="1"/>
        <rFont val="Calibri"/>
        <family val="2"/>
        <scheme val="minor"/>
      </rPr>
      <t xml:space="preserve"> worksheet counterclockwise 90</t>
    </r>
    <r>
      <rPr>
        <sz val="12"/>
        <color theme="1"/>
        <rFont val="Symbol"/>
        <family val="1"/>
        <charset val="2"/>
      </rPr>
      <t>°</t>
    </r>
    <r>
      <rPr>
        <sz val="12"/>
        <color theme="1"/>
        <rFont val="Calibri"/>
        <family val="2"/>
        <scheme val="minor"/>
      </rPr>
      <t>.  Set the column width to 8.0 for columns B:E.</t>
    </r>
  </si>
  <si>
    <r>
      <t xml:space="preserve">In one step, go to the </t>
    </r>
    <r>
      <rPr>
        <b/>
        <i/>
        <sz val="11"/>
        <color theme="1"/>
        <rFont val="Calibri"/>
        <family val="2"/>
        <scheme val="minor"/>
      </rPr>
      <t>OldTownStore</t>
    </r>
    <r>
      <rPr>
        <sz val="11"/>
        <color theme="1"/>
        <rFont val="Calibri"/>
        <family val="2"/>
        <scheme val="minor"/>
      </rPr>
      <t xml:space="preserve"> name range.  Put a </t>
    </r>
    <r>
      <rPr>
        <i/>
        <sz val="11"/>
        <color theme="1"/>
        <rFont val="Calibri"/>
        <family val="2"/>
        <scheme val="minor"/>
      </rPr>
      <t>Green, Accent 6, Darker 50%</t>
    </r>
    <r>
      <rPr>
        <sz val="11"/>
        <color theme="1"/>
        <rFont val="Calibri"/>
        <family val="2"/>
        <scheme val="minor"/>
      </rPr>
      <t xml:space="preserve"> thick border around the selected cells.</t>
    </r>
  </si>
  <si>
    <r>
      <t xml:space="preserve">Convert the </t>
    </r>
    <r>
      <rPr>
        <b/>
        <sz val="11"/>
        <color theme="1"/>
        <rFont val="Calibri"/>
        <family val="2"/>
        <scheme val="minor"/>
      </rPr>
      <t>Online Sales</t>
    </r>
    <r>
      <rPr>
        <sz val="11"/>
        <color theme="1"/>
        <rFont val="Calibri"/>
        <family val="2"/>
        <scheme val="minor"/>
      </rPr>
      <t xml:space="preserve"> data (C12:G29) to a Table.    Name the table "</t>
    </r>
    <r>
      <rPr>
        <b/>
        <i/>
        <u/>
        <sz val="11"/>
        <color theme="1"/>
        <rFont val="Calibri"/>
        <family val="2"/>
        <scheme val="minor"/>
      </rPr>
      <t>Online2022</t>
    </r>
    <r>
      <rPr>
        <sz val="11"/>
        <color theme="1"/>
        <rFont val="Calibri"/>
        <family val="2"/>
        <scheme val="minor"/>
      </rPr>
      <t xml:space="preserve">".
</t>
    </r>
  </si>
  <si>
    <r>
      <t xml:space="preserve">Customize the ribbon by adding the </t>
    </r>
    <r>
      <rPr>
        <b/>
        <i/>
        <sz val="11"/>
        <color theme="1"/>
        <rFont val="Calibri"/>
        <family val="2"/>
        <scheme val="minor"/>
      </rPr>
      <t>Draw</t>
    </r>
    <r>
      <rPr>
        <sz val="11"/>
        <color theme="1"/>
        <rFont val="Calibri"/>
        <family val="2"/>
        <scheme val="minor"/>
      </rPr>
      <t xml:space="preserve"> tab.</t>
    </r>
  </si>
  <si>
    <t>Open a new window of the workbook.  Show the Lookup Tables sheet in the new window.  Arrange vertically.</t>
  </si>
  <si>
    <r>
      <t xml:space="preserve">For Cells (K6:P19), apply a </t>
    </r>
    <r>
      <rPr>
        <b/>
        <sz val="11"/>
        <color theme="1"/>
        <rFont val="Calibri"/>
        <family val="2"/>
        <scheme val="minor"/>
      </rPr>
      <t>Thick Outside Border</t>
    </r>
    <r>
      <rPr>
        <sz val="11"/>
        <color theme="1"/>
        <rFont val="Calibri"/>
        <family val="2"/>
        <scheme val="minor"/>
      </rPr>
      <t>.</t>
    </r>
  </si>
  <si>
    <t>Complete all tasks below on the Lookup Tables Worksheet.</t>
  </si>
  <si>
    <r>
      <t xml:space="preserve">You should be seeing two windows of this workbook, one showing the </t>
    </r>
    <r>
      <rPr>
        <b/>
        <i/>
        <sz val="9"/>
        <color theme="1"/>
        <rFont val="Calibri"/>
        <family val="2"/>
        <scheme val="minor"/>
      </rPr>
      <t>Project 2</t>
    </r>
    <r>
      <rPr>
        <i/>
        <sz val="9"/>
        <color theme="1"/>
        <rFont val="Calibri"/>
        <family val="2"/>
        <scheme val="minor"/>
      </rPr>
      <t xml:space="preserve"> worksheet and the other the </t>
    </r>
    <r>
      <rPr>
        <b/>
        <i/>
        <sz val="9"/>
        <color theme="1"/>
        <rFont val="Calibri"/>
        <family val="2"/>
        <scheme val="minor"/>
      </rPr>
      <t>Lookup Tables</t>
    </r>
    <r>
      <rPr>
        <i/>
        <sz val="9"/>
        <color theme="1"/>
        <rFont val="Calibri"/>
        <family val="2"/>
        <scheme val="minor"/>
      </rPr>
      <t xml:space="preserve"> worksheet</t>
    </r>
  </si>
  <si>
    <r>
      <t xml:space="preserve">In cell C3 on the </t>
    </r>
    <r>
      <rPr>
        <b/>
        <sz val="11"/>
        <color theme="1"/>
        <rFont val="Calibri"/>
        <family val="2"/>
        <scheme val="minor"/>
      </rPr>
      <t>Lookup Tables</t>
    </r>
    <r>
      <rPr>
        <sz val="11"/>
        <color theme="1"/>
        <rFont val="Calibri"/>
        <family val="2"/>
        <scheme val="minor"/>
      </rPr>
      <t xml:space="preserve"> sheet,  create a hyperlink to cell C11 on the </t>
    </r>
    <r>
      <rPr>
        <b/>
        <sz val="11"/>
        <color theme="1"/>
        <rFont val="Calibri"/>
        <family val="2"/>
        <scheme val="minor"/>
      </rPr>
      <t>Project 2</t>
    </r>
    <r>
      <rPr>
        <sz val="11"/>
        <color theme="1"/>
        <rFont val="Calibri"/>
        <family val="2"/>
        <scheme val="minor"/>
      </rPr>
      <t xml:space="preserve"> sheet with the text "</t>
    </r>
    <r>
      <rPr>
        <b/>
        <i/>
        <sz val="11"/>
        <color theme="1"/>
        <rFont val="Calibri"/>
        <family val="2"/>
        <scheme val="minor"/>
      </rPr>
      <t>Jump to Instructions</t>
    </r>
    <r>
      <rPr>
        <sz val="11"/>
        <color theme="1"/>
        <rFont val="Calibri"/>
        <family val="2"/>
        <scheme val="minor"/>
      </rPr>
      <t>".</t>
    </r>
  </si>
  <si>
    <t>Run the spellchecker from the quick access tool bar.  Correct any mistakes found on the sheet. Sabi is correct.</t>
  </si>
  <si>
    <t>Save the workbook showing the Lookup Tables sheet.</t>
  </si>
  <si>
    <t>Complete task 1 on the on the project 2 Worksheet.</t>
  </si>
  <si>
    <r>
      <t xml:space="preserve">Type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 in cell B44.</t>
    </r>
  </si>
  <si>
    <t>Select cells G12:G42 and name the range DailySales.</t>
  </si>
  <si>
    <t>last</t>
  </si>
  <si>
    <t>first</t>
  </si>
  <si>
    <t>state</t>
  </si>
  <si>
    <t>phone</t>
  </si>
  <si>
    <t>email</t>
  </si>
  <si>
    <t>gpa</t>
  </si>
  <si>
    <t>program</t>
  </si>
  <si>
    <t>studiedabroad</t>
  </si>
  <si>
    <t>studiedin</t>
  </si>
  <si>
    <t>newsletter</t>
  </si>
  <si>
    <t>Close this window that has the Project 2 instructions showing, then use the hyperlink to jump to Project 2.</t>
  </si>
  <si>
    <t>Excel Practice Exam 3</t>
  </si>
  <si>
    <t>Save this file as "[FirstName] [LastName]-Practice Exam 3".</t>
  </si>
  <si>
    <t>Complete the tasks for all Projects (1-7).  The instructions for each worksheet will be at the top of the worksheet.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</si>
</sst>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."/>
    <numFmt numFmtId="169" formatCode="0.0%"/>
    <numFmt numFmtId="170" formatCode="_(&quot;$&quot;* #,##0_);_(&quot;$&quot;* \(#,##0\);_(&quot;$&quot;* &quot;-&quot;??_);_(@_)"/>
    <numFmt numFmtId="171" formatCode="&quot;$&quot;#,##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9" tint="-0.499984740745262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 Light"/>
      <family val="2"/>
      <scheme val="major"/>
    </font>
    <font>
      <b/>
      <sz val="20"/>
      <color theme="9" tint="-0.499984740745262"/>
      <name val="Calibri Light"/>
      <family val="2"/>
      <scheme val="major"/>
    </font>
    <font>
      <b/>
      <sz val="15"/>
      <color theme="9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sz val="12"/>
      <color theme="1"/>
      <name val="Symbol"/>
      <family val="1"/>
      <charset val="2"/>
    </font>
    <font>
      <b/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0000"/>
        <bgColor theme="4" tint="-0.499984740745262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</patternFill>
    </fill>
    <fill>
      <patternFill patternType="solid">
        <fgColor theme="4"/>
        <bgColor theme="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9" tint="-0.499984740745262"/>
      </left>
      <right style="thin">
        <color theme="9" tint="-0.499984740745262"/>
      </right>
      <top style="thick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ck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ck">
        <color theme="9" tint="-0.499984740745262"/>
      </right>
      <top style="thick">
        <color theme="9" tint="-0.499984740745262"/>
      </top>
      <bottom style="thin">
        <color theme="9" tint="-0.499984740745262"/>
      </bottom>
      <diagonal/>
    </border>
    <border>
      <left style="thick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ck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ck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ck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ck">
        <color theme="9" tint="-0.499984740745262"/>
      </bottom>
      <diagonal/>
    </border>
    <border>
      <left style="thin">
        <color theme="9" tint="-0.499984740745262"/>
      </left>
      <right style="thick">
        <color theme="9" tint="-0.499984740745262"/>
      </right>
      <top style="thin">
        <color theme="9" tint="-0.499984740745262"/>
      </top>
      <bottom style="thick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-0.499984740745262"/>
      </left>
      <right/>
      <top style="thick">
        <color theme="9" tint="-0.499984740745262"/>
      </top>
      <bottom style="thin">
        <color theme="9" tint="-0.499984740745262"/>
      </bottom>
      <diagonal/>
    </border>
    <border>
      <left/>
      <right/>
      <top style="thick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ck">
        <color theme="9" tint="-0.499984740745262"/>
      </bottom>
      <diagonal/>
    </border>
    <border>
      <left/>
      <right/>
      <top style="thin">
        <color theme="9" tint="-0.499984740745262"/>
      </top>
      <bottom style="thick">
        <color theme="9" tint="-0.499984740745262"/>
      </bottom>
      <diagonal/>
    </border>
    <border>
      <left/>
      <right style="thick">
        <color theme="9" tint="-0.499984740745262"/>
      </right>
      <top style="thick">
        <color theme="9" tint="-0.499984740745262"/>
      </top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 style="thick">
        <color theme="9" tint="-0.49998474074526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theme="9" tint="-0.499984740745262"/>
      </left>
      <right style="thin">
        <color theme="9" tint="-0.499984740745262"/>
      </right>
      <top/>
      <bottom style="thick">
        <color theme="9" tint="-0.499984740745262"/>
      </bottom>
      <diagonal/>
    </border>
    <border>
      <left style="thin">
        <color theme="9" tint="-0.499984740745262"/>
      </left>
      <right/>
      <top/>
      <bottom style="thick">
        <color theme="9" tint="-0.499984740745262"/>
      </bottom>
      <diagonal/>
    </border>
    <border>
      <left/>
      <right/>
      <top/>
      <bottom style="thick">
        <color theme="9" tint="-0.499984740745262"/>
      </bottom>
      <diagonal/>
    </border>
    <border>
      <left/>
      <right style="thick">
        <color theme="9" tint="-0.499984740745262"/>
      </right>
      <top/>
      <bottom style="thick">
        <color theme="9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ck">
        <color theme="9" tint="-0.499984740745262"/>
      </right>
      <top style="thin">
        <color theme="9" tint="-0.499984740745262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ck">
        <color theme="9" tint="-0.499984740745262"/>
      </bottom>
      <diagonal/>
    </border>
    <border>
      <left style="thin">
        <color theme="9" tint="-0.499984740745262"/>
      </left>
      <right style="thick">
        <color theme="9" tint="-0.499984740745262"/>
      </right>
      <top/>
      <bottom style="thick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ck">
        <color theme="9" tint="-0.499984740745262"/>
      </right>
      <top/>
      <bottom/>
      <diagonal/>
    </border>
    <border>
      <left style="thick">
        <color theme="9" tint="-0.499984740745262"/>
      </left>
      <right/>
      <top style="thick">
        <color theme="9" tint="-0.499984740745262"/>
      </top>
      <bottom/>
      <diagonal/>
    </border>
    <border>
      <left/>
      <right/>
      <top style="thick">
        <color theme="9" tint="-0.499984740745262"/>
      </top>
      <bottom/>
      <diagonal/>
    </border>
    <border>
      <left/>
      <right style="thick">
        <color theme="9" tint="-0.499984740745262"/>
      </right>
      <top style="thick">
        <color theme="9" tint="-0.499984740745262"/>
      </top>
      <bottom/>
      <diagonal/>
    </border>
    <border>
      <left style="thick">
        <color theme="9" tint="-0.499984740745262"/>
      </left>
      <right/>
      <top/>
      <bottom/>
      <diagonal/>
    </border>
    <border>
      <left style="thick">
        <color theme="9" tint="-0.499984740745262"/>
      </left>
      <right/>
      <top/>
      <bottom style="thick">
        <color theme="9" tint="-0.499984740745262"/>
      </bottom>
      <diagonal/>
    </border>
    <border>
      <left style="thick">
        <color theme="9" tint="-0.499984740745262"/>
      </left>
      <right style="thin">
        <color theme="0" tint="-0.34998626667073579"/>
      </right>
      <top style="thick">
        <color theme="9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9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9" tint="-0.499984740745262"/>
      </right>
      <top style="thick">
        <color theme="9" tint="-0.499984740745262"/>
      </top>
      <bottom style="thin">
        <color theme="0" tint="-0.34998626667073579"/>
      </bottom>
      <diagonal/>
    </border>
    <border>
      <left style="thick">
        <color theme="9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9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9" tint="-0.499984740745262"/>
      </left>
      <right style="thin">
        <color theme="0" tint="-0.34998626667073579"/>
      </right>
      <top style="thin">
        <color theme="0" tint="-0.34998626667073579"/>
      </top>
      <bottom style="thick">
        <color theme="9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9" tint="-0.499984740745262"/>
      </bottom>
      <diagonal/>
    </border>
    <border>
      <left style="thin">
        <color theme="0" tint="-0.34998626667073579"/>
      </left>
      <right style="thick">
        <color theme="9" tint="-0.499984740745262"/>
      </right>
      <top style="thin">
        <color theme="0" tint="-0.34998626667073579"/>
      </top>
      <bottom style="thick">
        <color theme="9" tint="-0.499984740745262"/>
      </bottom>
      <diagonal/>
    </border>
  </borders>
  <cellStyleXfs count="2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1" fillId="0" borderId="0"/>
    <xf numFmtId="0" fontId="1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166" fontId="1" fillId="0" borderId="0" applyFont="0" applyFill="0" applyBorder="0" applyAlignment="0" applyProtection="0"/>
    <xf numFmtId="0" fontId="14" fillId="5" borderId="29" applyNumberFormat="0" applyAlignment="0" applyProtection="0"/>
    <xf numFmtId="0" fontId="13" fillId="5" borderId="30" applyNumberFormat="0" applyAlignment="0" applyProtection="0"/>
    <xf numFmtId="0" fontId="12" fillId="4" borderId="29" applyNumberFormat="0" applyAlignment="0" applyProtection="0"/>
    <xf numFmtId="0" fontId="22" fillId="0" borderId="0"/>
    <xf numFmtId="0" fontId="24" fillId="13" borderId="0" applyNumberFormat="0" applyBorder="0" applyAlignment="0" applyProtection="0"/>
  </cellStyleXfs>
  <cellXfs count="146">
    <xf numFmtId="0" fontId="0" fillId="0" borderId="0" xfId="0"/>
    <xf numFmtId="0" fontId="1" fillId="0" borderId="2" xfId="4" applyBorder="1"/>
    <xf numFmtId="168" fontId="1" fillId="0" borderId="5" xfId="4" applyNumberFormat="1" applyBorder="1" applyAlignment="1">
      <alignment horizontal="right"/>
    </xf>
    <xf numFmtId="168" fontId="1" fillId="0" borderId="8" xfId="4" applyNumberFormat="1" applyBorder="1" applyAlignment="1">
      <alignment horizontal="right"/>
    </xf>
    <xf numFmtId="0" fontId="4" fillId="0" borderId="0" xfId="6" applyFont="1" applyAlignment="1">
      <alignment horizontal="center"/>
    </xf>
    <xf numFmtId="0" fontId="9" fillId="0" borderId="0" xfId="6" applyFont="1"/>
    <xf numFmtId="14" fontId="0" fillId="0" borderId="0" xfId="6" applyNumberFormat="1" applyFont="1"/>
    <xf numFmtId="0" fontId="0" fillId="0" borderId="0" xfId="6" applyFont="1"/>
    <xf numFmtId="0" fontId="0" fillId="0" borderId="0" xfId="5" applyNumberFormat="1" applyFont="1"/>
    <xf numFmtId="0" fontId="11" fillId="0" borderId="14" xfId="9" applyFont="1" applyBorder="1" applyAlignment="1">
      <alignment horizontal="center"/>
    </xf>
    <xf numFmtId="0" fontId="11" fillId="0" borderId="14" xfId="9" applyFont="1" applyFill="1" applyBorder="1" applyAlignment="1">
      <alignment horizontal="center"/>
    </xf>
    <xf numFmtId="166" fontId="1" fillId="2" borderId="14" xfId="5" applyFill="1" applyBorder="1" applyAlignment="1">
      <alignment horizontal="center"/>
    </xf>
    <xf numFmtId="169" fontId="1" fillId="2" borderId="14" xfId="8" applyNumberFormat="1" applyFill="1" applyBorder="1" applyAlignment="1">
      <alignment horizontal="center"/>
    </xf>
    <xf numFmtId="0" fontId="1" fillId="2" borderId="14" xfId="7" applyNumberFormat="1" applyFill="1" applyBorder="1" applyAlignment="1">
      <alignment horizontal="right" indent="2"/>
    </xf>
    <xf numFmtId="0" fontId="0" fillId="2" borderId="14" xfId="8" applyNumberFormat="1" applyFont="1" applyFill="1" applyBorder="1" applyAlignment="1">
      <alignment horizontal="left"/>
    </xf>
    <xf numFmtId="14" fontId="0" fillId="2" borderId="14" xfId="0" applyNumberFormat="1" applyFill="1" applyBorder="1"/>
    <xf numFmtId="166" fontId="1" fillId="2" borderId="14" xfId="5" applyFill="1" applyBorder="1"/>
    <xf numFmtId="14" fontId="1" fillId="2" borderId="14" xfId="10" applyNumberFormat="1" applyFill="1" applyBorder="1"/>
    <xf numFmtId="0" fontId="0" fillId="0" borderId="23" xfId="0" applyBorder="1" applyAlignment="1">
      <alignment horizontal="left"/>
    </xf>
    <xf numFmtId="9" fontId="0" fillId="0" borderId="24" xfId="0" applyNumberFormat="1" applyBorder="1" applyAlignment="1">
      <alignment horizontal="right" indent="2"/>
    </xf>
    <xf numFmtId="168" fontId="1" fillId="0" borderId="25" xfId="4" applyNumberFormat="1" applyBorder="1" applyAlignment="1">
      <alignment horizontal="right"/>
    </xf>
    <xf numFmtId="0" fontId="1" fillId="6" borderId="0" xfId="13"/>
    <xf numFmtId="0" fontId="1" fillId="0" borderId="0" xfId="6"/>
    <xf numFmtId="0" fontId="4" fillId="0" borderId="0" xfId="6" applyFont="1"/>
    <xf numFmtId="164" fontId="1" fillId="0" borderId="0" xfId="6" applyNumberFormat="1"/>
    <xf numFmtId="16" fontId="1" fillId="0" borderId="0" xfId="6" applyNumberFormat="1"/>
    <xf numFmtId="170" fontId="0" fillId="0" borderId="0" xfId="16" applyNumberFormat="1" applyFont="1"/>
    <xf numFmtId="164" fontId="14" fillId="5" borderId="29" xfId="17" applyNumberFormat="1"/>
    <xf numFmtId="170" fontId="13" fillId="5" borderId="30" xfId="18" applyNumberFormat="1"/>
    <xf numFmtId="164" fontId="12" fillId="4" borderId="29" xfId="19" applyNumberFormat="1"/>
    <xf numFmtId="0" fontId="4" fillId="0" borderId="0" xfId="0" applyFont="1"/>
    <xf numFmtId="0" fontId="7" fillId="0" borderId="0" xfId="0" applyFont="1"/>
    <xf numFmtId="0" fontId="15" fillId="10" borderId="0" xfId="14" applyFill="1"/>
    <xf numFmtId="0" fontId="15" fillId="11" borderId="0" xfId="15" applyFill="1"/>
    <xf numFmtId="0" fontId="15" fillId="11" borderId="0" xfId="14" applyFill="1"/>
    <xf numFmtId="0" fontId="15" fillId="12" borderId="0" xfId="14" applyFill="1"/>
    <xf numFmtId="1" fontId="1" fillId="0" borderId="0" xfId="6" applyNumberFormat="1"/>
    <xf numFmtId="171" fontId="1" fillId="0" borderId="0" xfId="6" applyNumberFormat="1" applyAlignment="1">
      <alignment horizontal="right"/>
    </xf>
    <xf numFmtId="0" fontId="1" fillId="0" borderId="0" xfId="12" applyAlignment="1">
      <alignment horizontal="center"/>
    </xf>
    <xf numFmtId="14" fontId="0" fillId="0" borderId="0" xfId="0" applyNumberFormat="1"/>
    <xf numFmtId="168" fontId="1" fillId="0" borderId="31" xfId="4" applyNumberFormat="1" applyBorder="1" applyAlignment="1">
      <alignment horizontal="right"/>
    </xf>
    <xf numFmtId="165" fontId="1" fillId="0" borderId="0" xfId="5" applyNumberFormat="1"/>
    <xf numFmtId="0" fontId="11" fillId="0" borderId="0" xfId="11" applyFont="1" applyBorder="1" applyAlignment="1">
      <alignment horizontal="center"/>
    </xf>
    <xf numFmtId="0" fontId="22" fillId="0" borderId="0" xfId="20"/>
    <xf numFmtId="0" fontId="23" fillId="14" borderId="36" xfId="20" applyFont="1" applyFill="1" applyBorder="1" applyAlignment="1">
      <alignment horizontal="right"/>
    </xf>
    <xf numFmtId="0" fontId="23" fillId="14" borderId="38" xfId="20" applyFont="1" applyFill="1" applyBorder="1"/>
    <xf numFmtId="0" fontId="23" fillId="14" borderId="36" xfId="20" applyFont="1" applyFill="1" applyBorder="1"/>
    <xf numFmtId="0" fontId="23" fillId="14" borderId="39" xfId="20" applyFont="1" applyFill="1" applyBorder="1"/>
    <xf numFmtId="1" fontId="19" fillId="0" borderId="5" xfId="3" applyNumberFormat="1" applyFont="1" applyBorder="1" applyAlignment="1">
      <alignment horizontal="right" vertical="top"/>
    </xf>
    <xf numFmtId="1" fontId="19" fillId="0" borderId="8" xfId="3" applyNumberFormat="1" applyFont="1" applyBorder="1" applyAlignment="1">
      <alignment vertical="top"/>
    </xf>
    <xf numFmtId="168" fontId="1" fillId="0" borderId="0" xfId="4" applyNumberFormat="1" applyAlignment="1">
      <alignment horizontal="right"/>
    </xf>
    <xf numFmtId="0" fontId="1" fillId="0" borderId="41" xfId="4" applyBorder="1"/>
    <xf numFmtId="168" fontId="1" fillId="0" borderId="44" xfId="4" applyNumberFormat="1" applyBorder="1" applyAlignment="1">
      <alignment horizontal="right"/>
    </xf>
    <xf numFmtId="0" fontId="1" fillId="0" borderId="44" xfId="4" applyBorder="1"/>
    <xf numFmtId="168" fontId="1" fillId="0" borderId="45" xfId="4" applyNumberFormat="1" applyBorder="1" applyAlignment="1">
      <alignment horizontal="right"/>
    </xf>
    <xf numFmtId="0" fontId="1" fillId="0" borderId="45" xfId="4" applyBorder="1"/>
    <xf numFmtId="0" fontId="0" fillId="0" borderId="0" xfId="4" applyFont="1"/>
    <xf numFmtId="0" fontId="1" fillId="0" borderId="0" xfId="4"/>
    <xf numFmtId="0" fontId="1" fillId="0" borderId="46" xfId="4" applyBorder="1"/>
    <xf numFmtId="168" fontId="1" fillId="0" borderId="49" xfId="4" applyNumberFormat="1" applyBorder="1" applyAlignment="1">
      <alignment horizontal="right"/>
    </xf>
    <xf numFmtId="168" fontId="1" fillId="0" borderId="52" xfId="4" applyNumberFormat="1" applyBorder="1" applyAlignment="1">
      <alignment horizontal="right"/>
    </xf>
    <xf numFmtId="0" fontId="19" fillId="0" borderId="6" xfId="3" applyFont="1" applyBorder="1"/>
    <xf numFmtId="0" fontId="19" fillId="0" borderId="7" xfId="3" applyFont="1" applyBorder="1"/>
    <xf numFmtId="0" fontId="21" fillId="0" borderId="11" xfId="4" applyFont="1" applyBorder="1"/>
    <xf numFmtId="0" fontId="21" fillId="0" borderId="12" xfId="4" applyFont="1" applyBorder="1"/>
    <xf numFmtId="0" fontId="21" fillId="0" borderId="13" xfId="4" applyFont="1" applyBorder="1"/>
    <xf numFmtId="0" fontId="19" fillId="0" borderId="9" xfId="3" applyFont="1" applyBorder="1"/>
    <xf numFmtId="0" fontId="19" fillId="0" borderId="10" xfId="3" applyFont="1" applyBorder="1"/>
    <xf numFmtId="0" fontId="5" fillId="0" borderId="0" xfId="0" applyFont="1" applyAlignment="1">
      <alignment horizontal="center"/>
    </xf>
    <xf numFmtId="49" fontId="17" fillId="0" borderId="2" xfId="1" applyNumberFormat="1" applyFont="1" applyBorder="1" applyAlignment="1">
      <alignment horizontal="center"/>
    </xf>
    <xf numFmtId="49" fontId="17" fillId="0" borderId="3" xfId="1" applyNumberFormat="1" applyFont="1" applyBorder="1" applyAlignment="1">
      <alignment horizontal="center"/>
    </xf>
    <xf numFmtId="49" fontId="17" fillId="0" borderId="4" xfId="1" applyNumberFormat="1" applyFont="1" applyBorder="1" applyAlignment="1">
      <alignment horizontal="center"/>
    </xf>
    <xf numFmtId="49" fontId="18" fillId="0" borderId="5" xfId="2" applyNumberFormat="1" applyFont="1" applyBorder="1" applyAlignment="1">
      <alignment horizontal="center"/>
    </xf>
    <xf numFmtId="49" fontId="18" fillId="0" borderId="6" xfId="2" applyNumberFormat="1" applyFont="1" applyBorder="1" applyAlignment="1">
      <alignment horizontal="center"/>
    </xf>
    <xf numFmtId="49" fontId="18" fillId="0" borderId="7" xfId="2" applyNumberFormat="1" applyFont="1" applyBorder="1" applyAlignment="1">
      <alignment horizontal="center"/>
    </xf>
    <xf numFmtId="0" fontId="19" fillId="0" borderId="6" xfId="3" applyFont="1" applyBorder="1" applyAlignment="1">
      <alignment wrapText="1"/>
    </xf>
    <xf numFmtId="0" fontId="19" fillId="0" borderId="7" xfId="3" applyFont="1" applyBorder="1" applyAlignment="1">
      <alignment wrapText="1"/>
    </xf>
    <xf numFmtId="0" fontId="19" fillId="0" borderId="11" xfId="3" applyFont="1" applyBorder="1" applyAlignment="1">
      <alignment wrapText="1"/>
    </xf>
    <xf numFmtId="0" fontId="19" fillId="0" borderId="12" xfId="3" applyFont="1" applyBorder="1" applyAlignment="1">
      <alignment wrapText="1"/>
    </xf>
    <xf numFmtId="0" fontId="19" fillId="0" borderId="13" xfId="3" applyFont="1" applyBorder="1" applyAlignment="1">
      <alignment wrapText="1"/>
    </xf>
    <xf numFmtId="0" fontId="0" fillId="0" borderId="0" xfId="0"/>
    <xf numFmtId="0" fontId="0" fillId="0" borderId="40" xfId="0" applyBorder="1"/>
    <xf numFmtId="0" fontId="4" fillId="0" borderId="9" xfId="4" applyFont="1" applyBorder="1"/>
    <xf numFmtId="0" fontId="4" fillId="0" borderId="10" xfId="4" applyFont="1" applyBorder="1"/>
    <xf numFmtId="0" fontId="4" fillId="0" borderId="0" xfId="6" applyFont="1" applyAlignment="1">
      <alignment horizontal="center"/>
    </xf>
    <xf numFmtId="0" fontId="8" fillId="0" borderId="3" xfId="4" applyFont="1" applyBorder="1"/>
    <xf numFmtId="0" fontId="8" fillId="0" borderId="4" xfId="4" applyFont="1" applyBorder="1"/>
    <xf numFmtId="0" fontId="0" fillId="0" borderId="6" xfId="4" applyFont="1" applyBorder="1" applyAlignment="1">
      <alignment vertical="top" wrapText="1"/>
    </xf>
    <xf numFmtId="0" fontId="1" fillId="0" borderId="6" xfId="4" applyBorder="1" applyAlignment="1">
      <alignment vertical="top" wrapText="1"/>
    </xf>
    <xf numFmtId="0" fontId="1" fillId="0" borderId="7" xfId="4" applyBorder="1" applyAlignment="1">
      <alignment vertical="top" wrapText="1"/>
    </xf>
    <xf numFmtId="0" fontId="0" fillId="0" borderId="6" xfId="4" applyFont="1" applyBorder="1"/>
    <xf numFmtId="0" fontId="1" fillId="0" borderId="6" xfId="4" applyBorder="1"/>
    <xf numFmtId="0" fontId="1" fillId="0" borderId="7" xfId="4" applyBorder="1"/>
    <xf numFmtId="0" fontId="8" fillId="0" borderId="42" xfId="4" applyFont="1" applyBorder="1"/>
    <xf numFmtId="0" fontId="8" fillId="0" borderId="43" xfId="4" applyFont="1" applyBorder="1"/>
    <xf numFmtId="0" fontId="30" fillId="0" borderId="27" xfId="0" applyFont="1" applyBorder="1"/>
    <xf numFmtId="0" fontId="30" fillId="0" borderId="28" xfId="0" applyFont="1" applyBorder="1"/>
    <xf numFmtId="0" fontId="0" fillId="0" borderId="27" xfId="0" applyBorder="1"/>
    <xf numFmtId="0" fontId="0" fillId="0" borderId="28" xfId="0" applyBorder="1"/>
    <xf numFmtId="0" fontId="0" fillId="0" borderId="0" xfId="4" applyFont="1"/>
    <xf numFmtId="0" fontId="1" fillId="0" borderId="0" xfId="4"/>
    <xf numFmtId="0" fontId="1" fillId="0" borderId="40" xfId="4" applyBorder="1"/>
    <xf numFmtId="0" fontId="8" fillId="0" borderId="0" xfId="4" applyFont="1"/>
    <xf numFmtId="0" fontId="8" fillId="0" borderId="40" xfId="4" applyFont="1" applyBorder="1"/>
    <xf numFmtId="0" fontId="0" fillId="0" borderId="0" xfId="4" applyFont="1" applyAlignment="1">
      <alignment vertical="top" wrapText="1"/>
    </xf>
    <xf numFmtId="0" fontId="1" fillId="0" borderId="0" xfId="4" applyAlignment="1">
      <alignment vertical="top" wrapText="1"/>
    </xf>
    <xf numFmtId="0" fontId="1" fillId="0" borderId="40" xfId="4" applyBorder="1" applyAlignment="1">
      <alignment vertical="top" wrapText="1"/>
    </xf>
    <xf numFmtId="0" fontId="0" fillId="0" borderId="11" xfId="4" applyFont="1" applyBorder="1"/>
    <xf numFmtId="0" fontId="1" fillId="0" borderId="12" xfId="4" applyBorder="1"/>
    <xf numFmtId="0" fontId="1" fillId="0" borderId="13" xfId="4" applyBorder="1"/>
    <xf numFmtId="0" fontId="0" fillId="0" borderId="26" xfId="4" applyFont="1" applyBorder="1"/>
    <xf numFmtId="0" fontId="1" fillId="0" borderId="27" xfId="4" applyBorder="1"/>
    <xf numFmtId="0" fontId="1" fillId="0" borderId="28" xfId="4" applyBorder="1"/>
    <xf numFmtId="0" fontId="8" fillId="0" borderId="15" xfId="4" applyFont="1" applyBorder="1"/>
    <xf numFmtId="0" fontId="8" fillId="0" borderId="16" xfId="4" applyFont="1" applyBorder="1"/>
    <xf numFmtId="0" fontId="8" fillId="0" borderId="19" xfId="4" applyFont="1" applyBorder="1"/>
    <xf numFmtId="0" fontId="0" fillId="0" borderId="11" xfId="4" applyFont="1" applyBorder="1" applyAlignment="1">
      <alignment vertical="top" wrapText="1"/>
    </xf>
    <xf numFmtId="0" fontId="1" fillId="0" borderId="12" xfId="4" applyBorder="1" applyAlignment="1">
      <alignment vertical="top" wrapText="1"/>
    </xf>
    <xf numFmtId="0" fontId="1" fillId="0" borderId="13" xfId="4" applyBorder="1" applyAlignment="1">
      <alignment vertical="top" wrapText="1"/>
    </xf>
    <xf numFmtId="0" fontId="0" fillId="0" borderId="12" xfId="4" applyFont="1" applyBorder="1"/>
    <xf numFmtId="0" fontId="0" fillId="0" borderId="13" xfId="4" applyFont="1" applyBorder="1"/>
    <xf numFmtId="0" fontId="0" fillId="0" borderId="17" xfId="4" applyFont="1" applyBorder="1"/>
    <xf numFmtId="0" fontId="0" fillId="0" borderId="18" xfId="4" applyFont="1" applyBorder="1"/>
    <xf numFmtId="0" fontId="0" fillId="0" borderId="20" xfId="4" applyFont="1" applyBorder="1"/>
    <xf numFmtId="0" fontId="16" fillId="9" borderId="0" xfId="1" applyFont="1" applyFill="1" applyAlignment="1">
      <alignment horizontal="center"/>
    </xf>
    <xf numFmtId="0" fontId="1" fillId="6" borderId="0" xfId="13" applyBorder="1" applyAlignment="1">
      <alignment horizontal="center"/>
    </xf>
    <xf numFmtId="0" fontId="0" fillId="0" borderId="12" xfId="4" applyFont="1" applyBorder="1" applyAlignment="1">
      <alignment vertical="top" wrapText="1"/>
    </xf>
    <xf numFmtId="0" fontId="0" fillId="0" borderId="13" xfId="4" applyFont="1" applyBorder="1" applyAlignment="1">
      <alignment vertical="top" wrapText="1"/>
    </xf>
    <xf numFmtId="0" fontId="0" fillId="0" borderId="7" xfId="4" applyFont="1" applyBorder="1"/>
    <xf numFmtId="0" fontId="0" fillId="0" borderId="33" xfId="4" applyFont="1" applyBorder="1"/>
    <xf numFmtId="0" fontId="0" fillId="0" borderId="34" xfId="4" applyFont="1" applyBorder="1"/>
    <xf numFmtId="0" fontId="0" fillId="0" borderId="7" xfId="4" applyFont="1" applyBorder="1" applyAlignment="1">
      <alignment vertical="top" wrapText="1"/>
    </xf>
    <xf numFmtId="0" fontId="0" fillId="0" borderId="35" xfId="4" applyFont="1" applyBorder="1"/>
    <xf numFmtId="0" fontId="0" fillId="0" borderId="32" xfId="4" applyFont="1" applyBorder="1"/>
    <xf numFmtId="0" fontId="8" fillId="0" borderId="47" xfId="4" applyFont="1" applyBorder="1"/>
    <xf numFmtId="0" fontId="8" fillId="0" borderId="48" xfId="4" applyFont="1" applyBorder="1"/>
    <xf numFmtId="0" fontId="0" fillId="0" borderId="50" xfId="4" applyFont="1" applyBorder="1" applyAlignment="1">
      <alignment vertical="top" wrapText="1"/>
    </xf>
    <xf numFmtId="0" fontId="0" fillId="0" borderId="51" xfId="4" applyFont="1" applyBorder="1" applyAlignment="1">
      <alignment vertical="top" wrapText="1"/>
    </xf>
    <xf numFmtId="0" fontId="0" fillId="0" borderId="53" xfId="4" applyFont="1" applyBorder="1" applyAlignment="1">
      <alignment vertical="top" wrapText="1"/>
    </xf>
    <xf numFmtId="0" fontId="0" fillId="0" borderId="54" xfId="4" applyFont="1" applyBorder="1" applyAlignment="1">
      <alignment vertical="top" wrapText="1"/>
    </xf>
    <xf numFmtId="0" fontId="0" fillId="0" borderId="50" xfId="0" applyBorder="1"/>
    <xf numFmtId="0" fontId="0" fillId="0" borderId="51" xfId="0" applyBorder="1"/>
    <xf numFmtId="0" fontId="25" fillId="13" borderId="0" xfId="21" applyFont="1" applyAlignment="1">
      <alignment horizontal="center"/>
    </xf>
    <xf numFmtId="0" fontId="26" fillId="0" borderId="37" xfId="20" applyFont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</cellXfs>
  <cellStyles count="22">
    <cellStyle name="40% - Accent3" xfId="13" builtinId="39"/>
    <cellStyle name="Accent1 2" xfId="21" xr:uid="{4F65832C-9DFD-4616-A0D3-B15D4FA3FEA7}"/>
    <cellStyle name="Accent5#KnFJSW1EfEE5bTw2CDrj81eK+4E/rt6u" xfId="14" xr:uid="{00000000-0005-0000-0000-000001000000}"/>
    <cellStyle name="Accent6#KnFJSW1EfEE5bTw2CDrj81eK+4E/rt6u" xfId="15" xr:uid="{00000000-0005-0000-0000-000002000000}"/>
    <cellStyle name="Calculation#KnFJSW1EfEE5bTw2CDrj81eK+4E/rt6u" xfId="17" xr:uid="{00000000-0005-0000-0000-000003000000}"/>
    <cellStyle name="Comma" xfId="7" builtinId="3"/>
    <cellStyle name="Currency" xfId="5" builtinId="4"/>
    <cellStyle name="Currency#KnFJSW1EfEE5bTw2CDrj81eK+4E/rt6u" xfId="16" xr:uid="{00000000-0005-0000-0000-000006000000}"/>
    <cellStyle name="Heading 1" xfId="2" builtinId="16"/>
    <cellStyle name="i0v9YQLkEF3b64qY5Glpb7DA7GpsITElUkbftYAkiVg=-~u0deXV++LOg+0NnlM1rlzQ==" xfId="12" xr:uid="{00000000-0005-0000-0000-000008000000}"/>
    <cellStyle name="Input#KnFJSW1EfEE5bTw2CDrj81eK+4E/rt6u" xfId="19" xr:uid="{00000000-0005-0000-0000-000009000000}"/>
    <cellStyle name="K7LqEr8vQHmkzVEpPKhYduwL+2UDOncxUzlX3MLWQ0Y=-~OMv6Y4nG/LtuaDrmYQfF2A==" xfId="10" xr:uid="{00000000-0005-0000-0000-00000A000000}"/>
    <cellStyle name="Normal" xfId="0" builtinId="0"/>
    <cellStyle name="Normal 2" xfId="4" xr:uid="{00000000-0005-0000-0000-00000C000000}"/>
    <cellStyle name="Normal 3" xfId="20" xr:uid="{16680EC5-744A-43D1-9610-B5BD9CAC7E21}"/>
    <cellStyle name="Normal 3 2 2" xfId="3" xr:uid="{00000000-0005-0000-0000-00000D000000}"/>
    <cellStyle name="Normal#KnFJSW1EfEE5bTw2CDrj81eK+4E/rt6u" xfId="6" xr:uid="{00000000-0005-0000-0000-00000E000000}"/>
    <cellStyle name="nW/6WwycI7DjzkCCf1qXVMUS/pdg5KCEcO/XC1jCVQw=-~R2hAYNXApY+gNIInxkNtRA==" xfId="11" xr:uid="{00000000-0005-0000-0000-00000F000000}"/>
    <cellStyle name="Output#KnFJSW1EfEE5bTw2CDrj81eK+4E/rt6u" xfId="18" xr:uid="{00000000-0005-0000-0000-000010000000}"/>
    <cellStyle name="Percent" xfId="8" builtinId="5"/>
    <cellStyle name="PxPTfQmz/QoUN4CPGXCS3wlCiWMBV3a4JkOUKvFoar4=-~Fg5WsqP/a0FBYFtnBfGC4A==" xfId="9" xr:uid="{00000000-0005-0000-0000-000012000000}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457306</xdr:colOff>
      <xdr:row>8</xdr:row>
      <xdr:rowOff>451970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2A1378-358D-4FA1-945C-90194ED4C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9700"/>
          <a:ext cx="1219306" cy="119492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5</xdr:row>
      <xdr:rowOff>0</xdr:rowOff>
    </xdr:from>
    <xdr:to>
      <xdr:col>3</xdr:col>
      <xdr:colOff>247756</xdr:colOff>
      <xdr:row>8</xdr:row>
      <xdr:rowOff>451970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9BA75-81B3-4504-83B4-433DD27C0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1409700"/>
          <a:ext cx="1219306" cy="1194920"/>
        </a:xfrm>
        <a:prstGeom prst="rect">
          <a:avLst/>
        </a:prstGeom>
      </xdr:spPr>
    </xdr:pic>
    <xdr:clientData/>
  </xdr:twoCellAnchor>
  <xdr:twoCellAnchor>
    <xdr:from>
      <xdr:col>4</xdr:col>
      <xdr:colOff>95249</xdr:colOff>
      <xdr:row>0</xdr:row>
      <xdr:rowOff>104774</xdr:rowOff>
    </xdr:from>
    <xdr:to>
      <xdr:col>10</xdr:col>
      <xdr:colOff>85725</xdr:colOff>
      <xdr:row>4</xdr:row>
      <xdr:rowOff>457200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5417329-CE15-45B0-BFF7-7A5166315A40}"/>
            </a:ext>
          </a:extLst>
        </xdr:cNvPr>
        <xdr:cNvSpPr txBox="1"/>
      </xdr:nvSpPr>
      <xdr:spPr>
        <a:xfrm>
          <a:off x="3886199" y="104774"/>
          <a:ext cx="9458326" cy="157162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1. In cell D1, count how many empty cell are in the Newsletter column.</a:t>
          </a:r>
          <a:r>
            <a:rPr lang="en-US"/>
            <a:t> Hint: Be sure to check the bottom of the file for empty cells.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2. In cell D2, count the number of students.</a:t>
          </a:r>
          <a:r>
            <a:rPr lang="en-US"/>
            <a:t> </a:t>
          </a:r>
        </a:p>
        <a:p>
          <a:r>
            <a:rPr lang="en-US" baseline="0"/>
            <a:t>Step 3. In cell D3, count the number of students who have studied abroad.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Hint: There is a space before the Yes, so use " Yes". </a:t>
          </a:r>
          <a:endParaRPr lang="en-US"/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4. Insert 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row above row 10.</a:t>
          </a: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5. Use a function in cell A10 to convert the text in cell A11 to all upper case letters.  Copy across B10:K10</a:t>
          </a: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6: Use the format painter to copy the format in row 11 to row 10.</a:t>
          </a: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7. Hide row 11</a:t>
          </a:r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B1:O15"/>
  <sheetViews>
    <sheetView tabSelected="1" workbookViewId="0">
      <selection activeCell="C13" sqref="C13:O13"/>
    </sheetView>
  </sheetViews>
  <sheetFormatPr defaultColWidth="8.85546875" defaultRowHeight="15" x14ac:dyDescent="0.25"/>
  <cols>
    <col min="1" max="1" width="2.28515625" customWidth="1"/>
    <col min="15" max="15" width="9.85546875" customWidth="1"/>
  </cols>
  <sheetData>
    <row r="1" spans="2:15" ht="12" customHeight="1" x14ac:dyDescent="0.25"/>
    <row r="2" spans="2:15" ht="26.25" x14ac:dyDescent="0.4">
      <c r="B2" s="68" t="s">
        <v>1264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spans="2:15" ht="15.75" thickBot="1" x14ac:dyDescent="0.3"/>
    <row r="4" spans="2:15" ht="27" thickTop="1" x14ac:dyDescent="0.4">
      <c r="B4" s="69" t="s">
        <v>1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2:15" ht="19.5" x14ac:dyDescent="0.3">
      <c r="B5" s="72" t="s">
        <v>4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4"/>
    </row>
    <row r="6" spans="2:15" ht="15.75" x14ac:dyDescent="0.25">
      <c r="B6" s="48">
        <v>1</v>
      </c>
      <c r="C6" s="61" t="s">
        <v>1265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2"/>
    </row>
    <row r="7" spans="2:15" ht="15.75" x14ac:dyDescent="0.25">
      <c r="B7" s="48">
        <v>2</v>
      </c>
      <c r="C7" s="61" t="s">
        <v>1238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2:15" ht="15.75" customHeight="1" x14ac:dyDescent="0.25">
      <c r="B8" s="48">
        <v>3</v>
      </c>
      <c r="C8" s="75" t="s">
        <v>94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6"/>
    </row>
    <row r="9" spans="2:15" ht="15.75" customHeight="1" x14ac:dyDescent="0.25">
      <c r="B9" s="48">
        <v>4</v>
      </c>
      <c r="C9" s="77" t="s">
        <v>1239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9"/>
    </row>
    <row r="10" spans="2:15" ht="15.75" customHeight="1" x14ac:dyDescent="0.25">
      <c r="B10" s="48">
        <v>5</v>
      </c>
      <c r="C10" s="80" t="s">
        <v>1240</v>
      </c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1"/>
    </row>
    <row r="11" spans="2:15" ht="15.75" customHeight="1" x14ac:dyDescent="0.25">
      <c r="B11" s="48">
        <v>6</v>
      </c>
      <c r="C11" s="61" t="s">
        <v>95</v>
      </c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</row>
    <row r="12" spans="2:15" ht="15.75" customHeight="1" x14ac:dyDescent="0.25">
      <c r="B12" s="48">
        <v>7</v>
      </c>
      <c r="C12" s="61" t="s">
        <v>1266</v>
      </c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2"/>
    </row>
    <row r="13" spans="2:15" ht="15.75" x14ac:dyDescent="0.25">
      <c r="B13" s="48">
        <v>8</v>
      </c>
      <c r="C13" s="63" t="s">
        <v>0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5"/>
    </row>
    <row r="14" spans="2:15" ht="16.5" thickBot="1" x14ac:dyDescent="0.3">
      <c r="B14" s="49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7"/>
    </row>
    <row r="15" spans="2:15" ht="15.75" thickTop="1" x14ac:dyDescent="0.25"/>
  </sheetData>
  <mergeCells count="12">
    <mergeCell ref="C12:O12"/>
    <mergeCell ref="C13:O13"/>
    <mergeCell ref="C14:O14"/>
    <mergeCell ref="B2:O2"/>
    <mergeCell ref="B4:O4"/>
    <mergeCell ref="B5:O5"/>
    <mergeCell ref="C6:O6"/>
    <mergeCell ref="C8:O8"/>
    <mergeCell ref="C11:O11"/>
    <mergeCell ref="C7:O7"/>
    <mergeCell ref="C9:O9"/>
    <mergeCell ref="C10:O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29"/>
  <sheetViews>
    <sheetView workbookViewId="0"/>
  </sheetViews>
  <sheetFormatPr defaultColWidth="8.85546875" defaultRowHeight="15" x14ac:dyDescent="0.25"/>
  <cols>
    <col min="1" max="1" width="2.28515625" customWidth="1"/>
    <col min="3" max="3" width="9.7109375" bestFit="1" customWidth="1"/>
    <col min="4" max="4" width="8.7109375" bestFit="1" customWidth="1"/>
    <col min="5" max="5" width="19.42578125" bestFit="1" customWidth="1"/>
    <col min="6" max="6" width="10" bestFit="1" customWidth="1"/>
  </cols>
  <sheetData>
    <row r="1" spans="2:17" ht="12" customHeight="1" thickBot="1" x14ac:dyDescent="0.3"/>
    <row r="2" spans="2:17" ht="19.5" thickTop="1" x14ac:dyDescent="0.3">
      <c r="B2" s="1"/>
      <c r="C2" s="85" t="s">
        <v>2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6"/>
    </row>
    <row r="3" spans="2:17" ht="15" customHeight="1" x14ac:dyDescent="0.25">
      <c r="B3" s="2">
        <v>1</v>
      </c>
      <c r="C3" s="87" t="s">
        <v>1241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9"/>
    </row>
    <row r="4" spans="2:17" x14ac:dyDescent="0.25">
      <c r="B4" s="2">
        <v>2</v>
      </c>
      <c r="C4" s="90" t="s">
        <v>1242</v>
      </c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2"/>
    </row>
    <row r="5" spans="2:17" x14ac:dyDescent="0.25">
      <c r="B5" s="2">
        <v>3</v>
      </c>
      <c r="C5" s="90" t="s">
        <v>27</v>
      </c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2"/>
    </row>
    <row r="6" spans="2:17" x14ac:dyDescent="0.25">
      <c r="B6" s="2">
        <v>4</v>
      </c>
      <c r="C6" s="91" t="s">
        <v>3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2"/>
    </row>
    <row r="7" spans="2:17" ht="15.75" thickBot="1" x14ac:dyDescent="0.3">
      <c r="B7" s="3">
        <v>5</v>
      </c>
      <c r="C7" s="82" t="s">
        <v>28</v>
      </c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3"/>
    </row>
    <row r="8" spans="2:17" ht="15.75" thickTop="1" x14ac:dyDescent="0.25"/>
    <row r="10" spans="2:17" x14ac:dyDescent="0.25">
      <c r="C10" s="84" t="s">
        <v>5</v>
      </c>
      <c r="D10" s="84"/>
      <c r="E10" s="84"/>
      <c r="F10" s="84"/>
      <c r="G10" s="84"/>
    </row>
    <row r="11" spans="2:17" x14ac:dyDescent="0.25">
      <c r="C11" s="4"/>
      <c r="D11" s="4"/>
      <c r="E11" s="4"/>
      <c r="F11" s="4"/>
    </row>
    <row r="12" spans="2:17" x14ac:dyDescent="0.25">
      <c r="C12" s="5" t="s">
        <v>6</v>
      </c>
      <c r="D12" s="5" t="s">
        <v>7</v>
      </c>
      <c r="E12" s="5" t="s">
        <v>8</v>
      </c>
      <c r="F12" s="5" t="s">
        <v>26</v>
      </c>
      <c r="G12" s="5" t="s">
        <v>9</v>
      </c>
    </row>
    <row r="13" spans="2:17" x14ac:dyDescent="0.25">
      <c r="C13" s="6">
        <v>42581</v>
      </c>
      <c r="D13" s="7">
        <v>6</v>
      </c>
      <c r="E13" s="7" t="s">
        <v>10</v>
      </c>
      <c r="F13" s="8">
        <v>1.99</v>
      </c>
      <c r="G13" s="7" t="s">
        <v>11</v>
      </c>
    </row>
    <row r="14" spans="2:17" x14ac:dyDescent="0.25">
      <c r="C14" s="6">
        <v>42581</v>
      </c>
      <c r="D14" s="7">
        <v>12</v>
      </c>
      <c r="E14" s="7" t="s">
        <v>12</v>
      </c>
      <c r="F14" s="8">
        <v>2.79</v>
      </c>
      <c r="G14" s="7" t="s">
        <v>13</v>
      </c>
    </row>
    <row r="15" spans="2:17" x14ac:dyDescent="0.25">
      <c r="C15" s="6">
        <v>42581</v>
      </c>
      <c r="D15" s="7">
        <v>4</v>
      </c>
      <c r="E15" s="7" t="s">
        <v>12</v>
      </c>
      <c r="F15" s="8">
        <v>2.79</v>
      </c>
      <c r="G15" s="7" t="s">
        <v>14</v>
      </c>
    </row>
    <row r="16" spans="2:17" x14ac:dyDescent="0.25">
      <c r="C16" s="6">
        <v>42581</v>
      </c>
      <c r="D16" s="7">
        <v>8</v>
      </c>
      <c r="E16" s="7" t="s">
        <v>15</v>
      </c>
      <c r="F16" s="8">
        <v>5.99</v>
      </c>
      <c r="G16" s="7" t="s">
        <v>16</v>
      </c>
    </row>
    <row r="17" spans="3:7" x14ac:dyDescent="0.25">
      <c r="C17" s="6">
        <v>42581</v>
      </c>
      <c r="D17" s="7">
        <v>5</v>
      </c>
      <c r="E17" s="7" t="s">
        <v>15</v>
      </c>
      <c r="F17" s="8">
        <v>5.99</v>
      </c>
      <c r="G17" s="7" t="s">
        <v>17</v>
      </c>
    </row>
    <row r="18" spans="3:7" x14ac:dyDescent="0.25">
      <c r="C18" s="6">
        <v>42581</v>
      </c>
      <c r="D18" s="7">
        <v>8</v>
      </c>
      <c r="E18" s="7" t="s">
        <v>18</v>
      </c>
      <c r="F18" s="8">
        <v>7.69</v>
      </c>
      <c r="G18" s="7" t="s">
        <v>19</v>
      </c>
    </row>
    <row r="19" spans="3:7" x14ac:dyDescent="0.25">
      <c r="C19" s="6">
        <v>42581</v>
      </c>
      <c r="D19" s="7">
        <v>2</v>
      </c>
      <c r="E19" s="7" t="s">
        <v>18</v>
      </c>
      <c r="F19" s="8">
        <v>7.69</v>
      </c>
      <c r="G19" s="7" t="s">
        <v>20</v>
      </c>
    </row>
    <row r="20" spans="3:7" x14ac:dyDescent="0.25">
      <c r="C20" s="6">
        <v>42581</v>
      </c>
      <c r="D20" s="7">
        <v>2</v>
      </c>
      <c r="E20" s="7" t="s">
        <v>12</v>
      </c>
      <c r="F20" s="8">
        <v>2.79</v>
      </c>
      <c r="G20" s="7" t="s">
        <v>21</v>
      </c>
    </row>
    <row r="21" spans="3:7" x14ac:dyDescent="0.25">
      <c r="C21" s="6">
        <v>42581</v>
      </c>
      <c r="D21" s="7">
        <v>4</v>
      </c>
      <c r="E21" s="7" t="s">
        <v>10</v>
      </c>
      <c r="F21" s="8">
        <v>1.99</v>
      </c>
      <c r="G21" s="7" t="s">
        <v>11</v>
      </c>
    </row>
    <row r="22" spans="3:7" x14ac:dyDescent="0.25">
      <c r="C22" s="6">
        <v>42581</v>
      </c>
      <c r="D22" s="7">
        <v>14</v>
      </c>
      <c r="E22" s="7" t="s">
        <v>18</v>
      </c>
      <c r="F22" s="8">
        <v>7.69</v>
      </c>
      <c r="G22" s="7" t="s">
        <v>20</v>
      </c>
    </row>
    <row r="23" spans="3:7" x14ac:dyDescent="0.25">
      <c r="C23" s="6">
        <v>42581</v>
      </c>
      <c r="D23" s="7">
        <v>8</v>
      </c>
      <c r="E23" s="7" t="s">
        <v>15</v>
      </c>
      <c r="F23" s="8">
        <v>5.99</v>
      </c>
      <c r="G23" s="7" t="s">
        <v>22</v>
      </c>
    </row>
    <row r="24" spans="3:7" x14ac:dyDescent="0.25">
      <c r="C24" s="6">
        <v>42581</v>
      </c>
      <c r="D24" s="7">
        <v>10</v>
      </c>
      <c r="E24" s="7" t="s">
        <v>12</v>
      </c>
      <c r="F24" s="8">
        <v>2.79</v>
      </c>
      <c r="G24" s="7" t="s">
        <v>23</v>
      </c>
    </row>
    <row r="25" spans="3:7" x14ac:dyDescent="0.25">
      <c r="C25" s="6">
        <v>42581</v>
      </c>
      <c r="D25" s="7">
        <v>2</v>
      </c>
      <c r="E25" s="7" t="s">
        <v>12</v>
      </c>
      <c r="F25" s="8">
        <v>2.79</v>
      </c>
      <c r="G25" s="7" t="s">
        <v>19</v>
      </c>
    </row>
    <row r="26" spans="3:7" x14ac:dyDescent="0.25">
      <c r="C26" s="6">
        <v>42581</v>
      </c>
      <c r="D26" s="7">
        <v>4</v>
      </c>
      <c r="E26" s="7" t="s">
        <v>10</v>
      </c>
      <c r="F26" s="8">
        <v>1.99</v>
      </c>
      <c r="G26" s="7" t="s">
        <v>17</v>
      </c>
    </row>
    <row r="27" spans="3:7" x14ac:dyDescent="0.25">
      <c r="C27" s="6">
        <v>42581</v>
      </c>
      <c r="D27" s="7">
        <v>2</v>
      </c>
      <c r="E27" s="7" t="s">
        <v>10</v>
      </c>
      <c r="F27" s="8">
        <v>1.99</v>
      </c>
      <c r="G27" s="7" t="s">
        <v>17</v>
      </c>
    </row>
    <row r="28" spans="3:7" x14ac:dyDescent="0.25">
      <c r="C28" s="6">
        <v>42581</v>
      </c>
      <c r="D28" s="7">
        <v>4</v>
      </c>
      <c r="E28" s="7" t="s">
        <v>15</v>
      </c>
      <c r="F28" s="8">
        <v>5.99</v>
      </c>
      <c r="G28" s="7" t="s">
        <v>24</v>
      </c>
    </row>
    <row r="29" spans="3:7" x14ac:dyDescent="0.25">
      <c r="C29" s="6">
        <v>42582</v>
      </c>
      <c r="D29" s="7">
        <v>2</v>
      </c>
      <c r="E29" s="7" t="s">
        <v>10</v>
      </c>
      <c r="F29" s="8">
        <v>1.99</v>
      </c>
      <c r="G29" s="7" t="s">
        <v>25</v>
      </c>
    </row>
  </sheetData>
  <mergeCells count="7">
    <mergeCell ref="C7:Q7"/>
    <mergeCell ref="C10:G10"/>
    <mergeCell ref="C2:Q2"/>
    <mergeCell ref="C3:Q3"/>
    <mergeCell ref="C4:Q4"/>
    <mergeCell ref="C5:Q5"/>
    <mergeCell ref="C6:Q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33"/>
  <sheetViews>
    <sheetView workbookViewId="0"/>
  </sheetViews>
  <sheetFormatPr defaultColWidth="8.85546875" defaultRowHeight="15" x14ac:dyDescent="0.25"/>
  <cols>
    <col min="1" max="1" width="2.28515625" customWidth="1"/>
    <col min="3" max="3" width="14.7109375" bestFit="1" customWidth="1"/>
    <col min="4" max="4" width="10.28515625" bestFit="1" customWidth="1"/>
    <col min="5" max="5" width="10" bestFit="1" customWidth="1"/>
    <col min="6" max="6" width="23.7109375" bestFit="1" customWidth="1"/>
    <col min="7" max="7" width="14.7109375" bestFit="1" customWidth="1"/>
    <col min="8" max="8" width="16.85546875" bestFit="1" customWidth="1"/>
  </cols>
  <sheetData>
    <row r="1" spans="2:9" ht="12" customHeight="1" thickBot="1" x14ac:dyDescent="0.3"/>
    <row r="2" spans="2:9" ht="19.5" thickTop="1" x14ac:dyDescent="0.3">
      <c r="B2" s="51"/>
      <c r="C2" s="93" t="s">
        <v>1250</v>
      </c>
      <c r="D2" s="93"/>
      <c r="E2" s="93"/>
      <c r="F2" s="93"/>
      <c r="G2" s="93"/>
      <c r="H2" s="93"/>
      <c r="I2" s="94"/>
    </row>
    <row r="3" spans="2:9" x14ac:dyDescent="0.25">
      <c r="B3" s="52">
        <v>1</v>
      </c>
      <c r="C3" s="80" t="s">
        <v>1243</v>
      </c>
      <c r="D3" s="80"/>
      <c r="E3" s="80"/>
      <c r="F3" s="80"/>
      <c r="G3" s="80"/>
      <c r="H3" s="80"/>
      <c r="I3" s="81"/>
    </row>
    <row r="4" spans="2:9" ht="15.75" thickBot="1" x14ac:dyDescent="0.3">
      <c r="B4" s="55"/>
      <c r="C4" s="95" t="s">
        <v>1246</v>
      </c>
      <c r="D4" s="95"/>
      <c r="E4" s="95"/>
      <c r="F4" s="95"/>
      <c r="G4" s="95"/>
      <c r="H4" s="95"/>
      <c r="I4" s="96"/>
    </row>
    <row r="5" spans="2:9" ht="19.5" thickTop="1" x14ac:dyDescent="0.3">
      <c r="B5" s="53"/>
      <c r="C5" s="102" t="s">
        <v>1245</v>
      </c>
      <c r="D5" s="102"/>
      <c r="E5" s="102"/>
      <c r="F5" s="102"/>
      <c r="G5" s="102"/>
      <c r="H5" s="102"/>
      <c r="I5" s="103"/>
    </row>
    <row r="6" spans="2:9" x14ac:dyDescent="0.25">
      <c r="B6" s="52">
        <v>2</v>
      </c>
      <c r="C6" s="104" t="s">
        <v>1244</v>
      </c>
      <c r="D6" s="105"/>
      <c r="E6" s="105"/>
      <c r="F6" s="105"/>
      <c r="G6" s="105"/>
      <c r="H6" s="105"/>
      <c r="I6" s="106"/>
    </row>
    <row r="7" spans="2:9" ht="30" customHeight="1" x14ac:dyDescent="0.25">
      <c r="B7" s="52">
        <v>3</v>
      </c>
      <c r="C7" s="104" t="s">
        <v>1247</v>
      </c>
      <c r="D7" s="105"/>
      <c r="E7" s="105"/>
      <c r="F7" s="105"/>
      <c r="G7" s="105"/>
      <c r="H7" s="105"/>
      <c r="I7" s="106"/>
    </row>
    <row r="8" spans="2:9" x14ac:dyDescent="0.25">
      <c r="B8" s="52">
        <v>4</v>
      </c>
      <c r="C8" s="104" t="s">
        <v>104</v>
      </c>
      <c r="D8" s="105"/>
      <c r="E8" s="105"/>
      <c r="F8" s="105"/>
      <c r="G8" s="105"/>
      <c r="H8" s="105"/>
      <c r="I8" s="106"/>
    </row>
    <row r="9" spans="2:9" ht="15" customHeight="1" x14ac:dyDescent="0.25">
      <c r="B9" s="52">
        <v>5</v>
      </c>
      <c r="C9" s="80" t="s">
        <v>1248</v>
      </c>
      <c r="D9" s="80"/>
      <c r="E9" s="80"/>
      <c r="F9" s="80"/>
      <c r="G9" s="80"/>
      <c r="H9" s="80"/>
      <c r="I9" s="81"/>
    </row>
    <row r="10" spans="2:9" ht="15" customHeight="1" x14ac:dyDescent="0.25">
      <c r="B10" s="52">
        <v>6</v>
      </c>
      <c r="C10" s="99" t="s">
        <v>105</v>
      </c>
      <c r="D10" s="100"/>
      <c r="E10" s="100"/>
      <c r="F10" s="100"/>
      <c r="G10" s="100"/>
      <c r="H10" s="100"/>
      <c r="I10" s="101"/>
    </row>
    <row r="11" spans="2:9" ht="15" customHeight="1" x14ac:dyDescent="0.25">
      <c r="B11" s="52">
        <v>7</v>
      </c>
      <c r="C11" s="99" t="s">
        <v>1249</v>
      </c>
      <c r="D11" s="100"/>
      <c r="E11" s="100"/>
      <c r="F11" s="100"/>
      <c r="G11" s="100"/>
      <c r="H11" s="100"/>
      <c r="I11" s="101"/>
    </row>
    <row r="12" spans="2:9" ht="15" customHeight="1" thickBot="1" x14ac:dyDescent="0.3">
      <c r="B12" s="54">
        <v>8</v>
      </c>
      <c r="C12" s="97" t="s">
        <v>1263</v>
      </c>
      <c r="D12" s="97"/>
      <c r="E12" s="97"/>
      <c r="F12" s="97"/>
      <c r="G12" s="97"/>
      <c r="H12" s="97"/>
      <c r="I12" s="98"/>
    </row>
    <row r="13" spans="2:9" ht="15.75" thickTop="1" x14ac:dyDescent="0.25"/>
    <row r="15" spans="2:9" x14ac:dyDescent="0.25">
      <c r="B15" s="50"/>
      <c r="C15" s="56"/>
      <c r="D15" s="57"/>
      <c r="E15" s="57"/>
      <c r="F15" s="57"/>
      <c r="G15" s="57"/>
      <c r="H15" s="57"/>
      <c r="I15" s="57"/>
    </row>
    <row r="33" spans="4:7" x14ac:dyDescent="0.25">
      <c r="D33" s="38"/>
      <c r="E33" s="38"/>
      <c r="G33" s="39"/>
    </row>
  </sheetData>
  <mergeCells count="11">
    <mergeCell ref="C2:I2"/>
    <mergeCell ref="C4:I4"/>
    <mergeCell ref="C9:I9"/>
    <mergeCell ref="C12:I12"/>
    <mergeCell ref="C11:I11"/>
    <mergeCell ref="C5:I5"/>
    <mergeCell ref="C6:I6"/>
    <mergeCell ref="C7:I7"/>
    <mergeCell ref="C8:I8"/>
    <mergeCell ref="C10:I10"/>
    <mergeCell ref="C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6"/>
  <sheetViews>
    <sheetView workbookViewId="0"/>
  </sheetViews>
  <sheetFormatPr defaultColWidth="8.85546875" defaultRowHeight="15" x14ac:dyDescent="0.25"/>
  <cols>
    <col min="1" max="1" width="2.28515625" customWidth="1"/>
    <col min="3" max="3" width="32" bestFit="1" customWidth="1"/>
    <col min="4" max="4" width="15" bestFit="1" customWidth="1"/>
    <col min="5" max="5" width="18.7109375" bestFit="1" customWidth="1"/>
    <col min="6" max="6" width="12" bestFit="1" customWidth="1"/>
    <col min="7" max="7" width="13.7109375" customWidth="1"/>
    <col min="8" max="8" width="15.7109375" bestFit="1" customWidth="1"/>
    <col min="9" max="9" width="28.42578125" bestFit="1" customWidth="1"/>
  </cols>
  <sheetData>
    <row r="1" spans="2:10" ht="12" customHeight="1" thickBot="1" x14ac:dyDescent="0.3"/>
    <row r="2" spans="2:10" ht="19.5" thickTop="1" x14ac:dyDescent="0.3">
      <c r="B2" s="1"/>
      <c r="C2" s="113" t="s">
        <v>55</v>
      </c>
      <c r="D2" s="114"/>
      <c r="E2" s="114"/>
      <c r="F2" s="114"/>
      <c r="G2" s="114"/>
      <c r="H2" s="114"/>
      <c r="I2" s="114"/>
      <c r="J2" s="115"/>
    </row>
    <row r="3" spans="2:10" ht="15" customHeight="1" x14ac:dyDescent="0.25">
      <c r="B3" s="2">
        <v>1</v>
      </c>
      <c r="C3" s="116" t="s">
        <v>66</v>
      </c>
      <c r="D3" s="117"/>
      <c r="E3" s="117"/>
      <c r="F3" s="117"/>
      <c r="G3" s="117"/>
      <c r="H3" s="117"/>
      <c r="I3" s="117"/>
      <c r="J3" s="118"/>
    </row>
    <row r="4" spans="2:10" ht="15" customHeight="1" x14ac:dyDescent="0.25">
      <c r="B4" s="2">
        <v>2</v>
      </c>
      <c r="C4" s="116" t="s">
        <v>67</v>
      </c>
      <c r="D4" s="117"/>
      <c r="E4" s="117"/>
      <c r="F4" s="117"/>
      <c r="G4" s="117"/>
      <c r="H4" s="117"/>
      <c r="I4" s="117"/>
      <c r="J4" s="118"/>
    </row>
    <row r="5" spans="2:10" ht="15" customHeight="1" x14ac:dyDescent="0.25">
      <c r="B5" s="2">
        <v>3</v>
      </c>
      <c r="C5" s="116" t="s">
        <v>96</v>
      </c>
      <c r="D5" s="117"/>
      <c r="E5" s="117"/>
      <c r="F5" s="117"/>
      <c r="G5" s="117"/>
      <c r="H5" s="117"/>
      <c r="I5" s="117"/>
      <c r="J5" s="118"/>
    </row>
    <row r="6" spans="2:10" x14ac:dyDescent="0.25">
      <c r="B6" s="2">
        <v>4</v>
      </c>
      <c r="C6" s="116" t="s">
        <v>62</v>
      </c>
      <c r="D6" s="117"/>
      <c r="E6" s="117"/>
      <c r="F6" s="117"/>
      <c r="G6" s="117"/>
      <c r="H6" s="117"/>
      <c r="I6" s="117"/>
      <c r="J6" s="118"/>
    </row>
    <row r="7" spans="2:10" x14ac:dyDescent="0.25">
      <c r="B7" s="2">
        <v>5</v>
      </c>
      <c r="C7" s="107" t="s">
        <v>63</v>
      </c>
      <c r="D7" s="108"/>
      <c r="E7" s="108"/>
      <c r="F7" s="108"/>
      <c r="G7" s="108"/>
      <c r="H7" s="108"/>
      <c r="I7" s="108"/>
      <c r="J7" s="109"/>
    </row>
    <row r="8" spans="2:10" x14ac:dyDescent="0.25">
      <c r="B8" s="2">
        <v>6</v>
      </c>
      <c r="C8" s="107" t="s">
        <v>64</v>
      </c>
      <c r="D8" s="108"/>
      <c r="E8" s="108"/>
      <c r="F8" s="108"/>
      <c r="G8" s="108"/>
      <c r="H8" s="108"/>
      <c r="I8" s="108"/>
      <c r="J8" s="109"/>
    </row>
    <row r="9" spans="2:10" ht="15.75" thickBot="1" x14ac:dyDescent="0.3">
      <c r="B9" s="20">
        <v>7</v>
      </c>
      <c r="C9" s="110" t="s">
        <v>65</v>
      </c>
      <c r="D9" s="111"/>
      <c r="E9" s="111"/>
      <c r="F9" s="111"/>
      <c r="G9" s="111"/>
      <c r="H9" s="111"/>
      <c r="I9" s="111"/>
      <c r="J9" s="112"/>
    </row>
    <row r="10" spans="2:10" ht="15.75" thickTop="1" x14ac:dyDescent="0.25"/>
    <row r="11" spans="2:10" x14ac:dyDescent="0.25">
      <c r="C11" t="s">
        <v>56</v>
      </c>
    </row>
    <row r="12" spans="2:10" x14ac:dyDescent="0.25">
      <c r="D12" t="s">
        <v>57</v>
      </c>
    </row>
    <row r="13" spans="2:10" x14ac:dyDescent="0.25">
      <c r="D13" t="s">
        <v>58</v>
      </c>
      <c r="E13" t="s">
        <v>59</v>
      </c>
      <c r="F13" t="s">
        <v>60</v>
      </c>
      <c r="G13" t="s">
        <v>61</v>
      </c>
    </row>
    <row r="14" spans="2:10" x14ac:dyDescent="0.25">
      <c r="C14" t="s">
        <v>10</v>
      </c>
      <c r="D14">
        <v>2500</v>
      </c>
      <c r="E14">
        <v>900</v>
      </c>
      <c r="F14">
        <v>800</v>
      </c>
      <c r="G14">
        <v>1150</v>
      </c>
    </row>
    <row r="15" spans="2:10" x14ac:dyDescent="0.25">
      <c r="C15" t="s">
        <v>18</v>
      </c>
      <c r="D15">
        <v>2760</v>
      </c>
      <c r="E15">
        <v>525</v>
      </c>
      <c r="F15">
        <v>1005</v>
      </c>
      <c r="G15">
        <v>2100</v>
      </c>
    </row>
    <row r="16" spans="2:10" x14ac:dyDescent="0.25">
      <c r="C16" t="s">
        <v>15</v>
      </c>
      <c r="D16">
        <v>3800</v>
      </c>
      <c r="E16">
        <v>1800</v>
      </c>
      <c r="F16">
        <v>1225</v>
      </c>
      <c r="G16">
        <v>2010</v>
      </c>
    </row>
    <row r="26" spans="3:4" x14ac:dyDescent="0.25">
      <c r="C26" s="80"/>
      <c r="D26" s="80"/>
    </row>
  </sheetData>
  <mergeCells count="9">
    <mergeCell ref="C8:J8"/>
    <mergeCell ref="C26:D26"/>
    <mergeCell ref="C9:J9"/>
    <mergeCell ref="C2:J2"/>
    <mergeCell ref="C3:J3"/>
    <mergeCell ref="C4:J4"/>
    <mergeCell ref="C5:J5"/>
    <mergeCell ref="C6:J6"/>
    <mergeCell ref="C7:J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6"/>
  <sheetViews>
    <sheetView workbookViewId="0"/>
  </sheetViews>
  <sheetFormatPr defaultColWidth="8.85546875" defaultRowHeight="15" x14ac:dyDescent="0.25"/>
  <cols>
    <col min="1" max="1" width="2.28515625" customWidth="1"/>
    <col min="3" max="3" width="32" bestFit="1" customWidth="1"/>
    <col min="4" max="4" width="15" bestFit="1" customWidth="1"/>
    <col min="5" max="5" width="18.7109375" bestFit="1" customWidth="1"/>
    <col min="6" max="6" width="12" bestFit="1" customWidth="1"/>
    <col min="7" max="7" width="13.7109375" customWidth="1"/>
    <col min="8" max="8" width="15.7109375" bestFit="1" customWidth="1"/>
    <col min="9" max="9" width="28.42578125" bestFit="1" customWidth="1"/>
  </cols>
  <sheetData>
    <row r="1" spans="2:10" ht="12" customHeight="1" thickBot="1" x14ac:dyDescent="0.3"/>
    <row r="2" spans="2:10" ht="19.5" thickTop="1" x14ac:dyDescent="0.3">
      <c r="B2" s="1"/>
      <c r="C2" s="113" t="s">
        <v>69</v>
      </c>
      <c r="D2" s="114"/>
      <c r="E2" s="114"/>
      <c r="F2" s="114"/>
      <c r="G2" s="114"/>
      <c r="H2" s="114"/>
      <c r="I2" s="114"/>
      <c r="J2" s="115"/>
    </row>
    <row r="3" spans="2:10" ht="15" customHeight="1" x14ac:dyDescent="0.25">
      <c r="B3" s="2">
        <v>1</v>
      </c>
      <c r="C3" s="116" t="s">
        <v>70</v>
      </c>
      <c r="D3" s="117"/>
      <c r="E3" s="117"/>
      <c r="F3" s="117"/>
      <c r="G3" s="117"/>
      <c r="H3" s="117"/>
      <c r="I3" s="117"/>
      <c r="J3" s="118"/>
    </row>
    <row r="4" spans="2:10" ht="15" customHeight="1" x14ac:dyDescent="0.25">
      <c r="B4" s="2">
        <v>2</v>
      </c>
      <c r="C4" s="116" t="s">
        <v>71</v>
      </c>
      <c r="D4" s="117"/>
      <c r="E4" s="117"/>
      <c r="F4" s="117"/>
      <c r="G4" s="117"/>
      <c r="H4" s="117"/>
      <c r="I4" s="117"/>
      <c r="J4" s="118"/>
    </row>
    <row r="5" spans="2:10" x14ac:dyDescent="0.25">
      <c r="B5" s="2">
        <v>3</v>
      </c>
      <c r="C5" s="116" t="s">
        <v>72</v>
      </c>
      <c r="D5" s="117"/>
      <c r="E5" s="117"/>
      <c r="F5" s="117"/>
      <c r="G5" s="117"/>
      <c r="H5" s="117"/>
      <c r="I5" s="117"/>
      <c r="J5" s="118"/>
    </row>
    <row r="6" spans="2:10" x14ac:dyDescent="0.25">
      <c r="B6" s="2">
        <v>4</v>
      </c>
      <c r="C6" s="116" t="s">
        <v>88</v>
      </c>
      <c r="D6" s="126"/>
      <c r="E6" s="126"/>
      <c r="F6" s="126"/>
      <c r="G6" s="126"/>
      <c r="H6" s="126"/>
      <c r="I6" s="126"/>
      <c r="J6" s="127"/>
    </row>
    <row r="7" spans="2:10" x14ac:dyDescent="0.25">
      <c r="B7" s="2"/>
      <c r="C7" s="107"/>
      <c r="D7" s="119"/>
      <c r="E7" s="119"/>
      <c r="F7" s="119"/>
      <c r="G7" s="119"/>
      <c r="H7" s="119"/>
      <c r="I7" s="119"/>
      <c r="J7" s="120"/>
    </row>
    <row r="8" spans="2:10" x14ac:dyDescent="0.25">
      <c r="B8" s="2"/>
      <c r="C8" s="107"/>
      <c r="D8" s="119"/>
      <c r="E8" s="119"/>
      <c r="F8" s="119"/>
      <c r="G8" s="119"/>
      <c r="H8" s="119"/>
      <c r="I8" s="119"/>
      <c r="J8" s="120"/>
    </row>
    <row r="9" spans="2:10" ht="15.75" thickBot="1" x14ac:dyDescent="0.3">
      <c r="B9" s="20"/>
      <c r="C9" s="121"/>
      <c r="D9" s="122"/>
      <c r="E9" s="122"/>
      <c r="F9" s="122"/>
      <c r="G9" s="122"/>
      <c r="H9" s="122"/>
      <c r="I9" s="122"/>
      <c r="J9" s="123"/>
    </row>
    <row r="10" spans="2:10" ht="15.75" thickTop="1" x14ac:dyDescent="0.25"/>
    <row r="11" spans="2:10" ht="23.25" x14ac:dyDescent="0.35">
      <c r="C11" s="124" t="s">
        <v>56</v>
      </c>
      <c r="D11" s="124"/>
      <c r="E11" s="124"/>
      <c r="F11" s="124"/>
      <c r="G11" s="124"/>
    </row>
    <row r="12" spans="2:10" x14ac:dyDescent="0.25">
      <c r="C12" s="21"/>
      <c r="D12" s="125" t="s">
        <v>57</v>
      </c>
      <c r="E12" s="125"/>
      <c r="F12" s="125"/>
      <c r="G12" s="125"/>
    </row>
    <row r="13" spans="2:10" x14ac:dyDescent="0.25">
      <c r="D13" t="s">
        <v>58</v>
      </c>
      <c r="E13" t="s">
        <v>59</v>
      </c>
      <c r="F13" t="s">
        <v>60</v>
      </c>
      <c r="G13" t="s">
        <v>61</v>
      </c>
    </row>
    <row r="14" spans="2:10" x14ac:dyDescent="0.25">
      <c r="C14" t="s">
        <v>10</v>
      </c>
      <c r="D14">
        <v>2500</v>
      </c>
      <c r="E14">
        <v>900</v>
      </c>
      <c r="F14">
        <v>800</v>
      </c>
      <c r="G14">
        <v>1150</v>
      </c>
    </row>
    <row r="15" spans="2:10" x14ac:dyDescent="0.25">
      <c r="C15" t="s">
        <v>18</v>
      </c>
      <c r="D15">
        <v>2760</v>
      </c>
      <c r="E15">
        <v>525</v>
      </c>
      <c r="F15">
        <v>1005</v>
      </c>
      <c r="G15">
        <v>2100</v>
      </c>
    </row>
    <row r="16" spans="2:10" x14ac:dyDescent="0.25">
      <c r="C16" t="s">
        <v>15</v>
      </c>
      <c r="D16">
        <v>3800</v>
      </c>
      <c r="E16">
        <v>1800</v>
      </c>
      <c r="F16">
        <v>1225</v>
      </c>
      <c r="G16">
        <v>2010</v>
      </c>
    </row>
    <row r="17" spans="3:7" x14ac:dyDescent="0.25">
      <c r="C17" s="31" t="s">
        <v>68</v>
      </c>
      <c r="D17" s="30">
        <f>SUM(D14:D16)</f>
        <v>9060</v>
      </c>
      <c r="E17" s="30">
        <f>SUM(E14:E16)</f>
        <v>3225</v>
      </c>
      <c r="F17" s="30">
        <f>SUM(F14:F16)</f>
        <v>3030</v>
      </c>
      <c r="G17" s="30">
        <f>SUM(G14:G16)</f>
        <v>5260</v>
      </c>
    </row>
    <row r="26" spans="3:7" x14ac:dyDescent="0.25">
      <c r="C26" s="80"/>
      <c r="D26" s="80"/>
    </row>
  </sheetData>
  <mergeCells count="11">
    <mergeCell ref="C2:J2"/>
    <mergeCell ref="C3:J3"/>
    <mergeCell ref="C4:J4"/>
    <mergeCell ref="C5:J5"/>
    <mergeCell ref="C6:J6"/>
    <mergeCell ref="C7:J7"/>
    <mergeCell ref="C8:J8"/>
    <mergeCell ref="C9:J9"/>
    <mergeCell ref="C26:D26"/>
    <mergeCell ref="C11:G11"/>
    <mergeCell ref="D12:G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43"/>
  <sheetViews>
    <sheetView workbookViewId="0"/>
  </sheetViews>
  <sheetFormatPr defaultColWidth="8.85546875" defaultRowHeight="15" x14ac:dyDescent="0.25"/>
  <cols>
    <col min="1" max="1" width="2.28515625" customWidth="1"/>
    <col min="4" max="4" width="12.85546875" style="22" bestFit="1" customWidth="1"/>
    <col min="5" max="5" width="20.85546875" style="22" bestFit="1" customWidth="1"/>
    <col min="6" max="6" width="18.42578125" style="22" bestFit="1" customWidth="1"/>
    <col min="7" max="7" width="17.42578125" style="22" customWidth="1"/>
    <col min="8" max="8" width="14.28515625" style="22" customWidth="1"/>
    <col min="9" max="9" width="15.140625" style="22" bestFit="1" customWidth="1"/>
    <col min="10" max="10" width="4.140625" style="22" customWidth="1"/>
    <col min="11" max="11" width="15.85546875" style="22" bestFit="1" customWidth="1"/>
    <col min="12" max="12" width="25.7109375" bestFit="1" customWidth="1"/>
  </cols>
  <sheetData>
    <row r="1" spans="2:13" ht="12" customHeight="1" thickBot="1" x14ac:dyDescent="0.3">
      <c r="D1"/>
      <c r="E1"/>
      <c r="F1"/>
      <c r="G1"/>
      <c r="H1"/>
      <c r="I1"/>
      <c r="J1"/>
      <c r="K1"/>
    </row>
    <row r="2" spans="2:13" ht="19.5" thickTop="1" x14ac:dyDescent="0.3">
      <c r="B2" s="1"/>
      <c r="C2" s="85" t="s">
        <v>86</v>
      </c>
      <c r="D2" s="85"/>
      <c r="E2" s="85"/>
      <c r="F2" s="85"/>
      <c r="G2" s="85"/>
      <c r="H2" s="85"/>
      <c r="I2" s="85"/>
      <c r="J2" s="85"/>
      <c r="K2" s="86"/>
    </row>
    <row r="3" spans="2:13" x14ac:dyDescent="0.25">
      <c r="B3" s="2">
        <v>1</v>
      </c>
      <c r="C3" s="87" t="s">
        <v>97</v>
      </c>
      <c r="D3" s="87"/>
      <c r="E3" s="87"/>
      <c r="F3" s="87"/>
      <c r="G3" s="87"/>
      <c r="H3" s="87"/>
      <c r="I3" s="87"/>
      <c r="J3" s="87"/>
      <c r="K3" s="131"/>
    </row>
    <row r="4" spans="2:13" x14ac:dyDescent="0.25">
      <c r="B4" s="2">
        <v>2</v>
      </c>
      <c r="C4" s="87" t="s">
        <v>1251</v>
      </c>
      <c r="D4" s="87"/>
      <c r="E4" s="87"/>
      <c r="F4" s="87"/>
      <c r="G4" s="87"/>
      <c r="H4" s="87"/>
      <c r="I4" s="87"/>
      <c r="J4" s="87"/>
      <c r="K4" s="131"/>
    </row>
    <row r="5" spans="2:13" x14ac:dyDescent="0.25">
      <c r="B5" s="2">
        <v>3</v>
      </c>
      <c r="C5" s="87" t="s">
        <v>98</v>
      </c>
      <c r="D5" s="87"/>
      <c r="E5" s="87"/>
      <c r="F5" s="87"/>
      <c r="G5" s="87"/>
      <c r="H5" s="87"/>
      <c r="I5" s="87"/>
      <c r="J5" s="87"/>
      <c r="K5" s="131"/>
    </row>
    <row r="6" spans="2:13" x14ac:dyDescent="0.25">
      <c r="B6" s="2">
        <v>4</v>
      </c>
      <c r="C6" s="87" t="s">
        <v>99</v>
      </c>
      <c r="D6" s="87"/>
      <c r="E6" s="87"/>
      <c r="F6" s="87"/>
      <c r="G6" s="87"/>
      <c r="H6" s="87"/>
      <c r="I6" s="87"/>
      <c r="J6" s="87"/>
      <c r="K6" s="131"/>
    </row>
    <row r="7" spans="2:13" x14ac:dyDescent="0.25">
      <c r="B7" s="2">
        <v>5</v>
      </c>
      <c r="C7" s="107" t="s">
        <v>100</v>
      </c>
      <c r="D7" s="119"/>
      <c r="E7" s="119"/>
      <c r="F7" s="119"/>
      <c r="G7" s="119"/>
      <c r="H7" s="119"/>
      <c r="I7" s="119"/>
      <c r="J7" s="119"/>
      <c r="K7" s="120"/>
    </row>
    <row r="8" spans="2:13" x14ac:dyDescent="0.25">
      <c r="B8" s="2">
        <v>6</v>
      </c>
      <c r="C8" s="90" t="s">
        <v>101</v>
      </c>
      <c r="D8" s="90"/>
      <c r="E8" s="90"/>
      <c r="F8" s="90"/>
      <c r="G8" s="90"/>
      <c r="H8" s="90"/>
      <c r="I8" s="90"/>
      <c r="J8" s="90"/>
      <c r="K8" s="128"/>
    </row>
    <row r="9" spans="2:13" x14ac:dyDescent="0.25">
      <c r="B9" s="40">
        <v>7</v>
      </c>
      <c r="C9" s="132" t="s">
        <v>102</v>
      </c>
      <c r="D9" s="132"/>
      <c r="E9" s="132"/>
      <c r="F9" s="132"/>
      <c r="G9" s="132"/>
      <c r="H9" s="132"/>
      <c r="I9" s="132"/>
      <c r="J9" s="132"/>
      <c r="K9" s="133"/>
    </row>
    <row r="10" spans="2:13" ht="15.75" thickBot="1" x14ac:dyDescent="0.3">
      <c r="B10" s="3">
        <v>8</v>
      </c>
      <c r="C10" s="129" t="s">
        <v>103</v>
      </c>
      <c r="D10" s="129"/>
      <c r="E10" s="129"/>
      <c r="F10" s="129"/>
      <c r="G10" s="129"/>
      <c r="H10" s="129"/>
      <c r="I10" s="129"/>
      <c r="J10" s="129"/>
      <c r="K10" s="130"/>
    </row>
    <row r="11" spans="2:13" ht="15.75" thickTop="1" x14ac:dyDescent="0.25">
      <c r="D11"/>
      <c r="E11"/>
      <c r="F11"/>
      <c r="G11"/>
      <c r="H11"/>
      <c r="I11"/>
      <c r="J11"/>
      <c r="K11"/>
    </row>
    <row r="12" spans="2:13" x14ac:dyDescent="0.25">
      <c r="C12" s="32" t="s">
        <v>6</v>
      </c>
      <c r="D12" s="32" t="s">
        <v>10</v>
      </c>
      <c r="E12" s="32" t="s">
        <v>73</v>
      </c>
      <c r="F12" s="32" t="s">
        <v>15</v>
      </c>
      <c r="G12" s="32" t="s">
        <v>74</v>
      </c>
      <c r="H12" s="33" t="s">
        <v>75</v>
      </c>
      <c r="I12" s="33" t="s">
        <v>76</v>
      </c>
      <c r="K12" s="34" t="s">
        <v>87</v>
      </c>
      <c r="L12" s="23" t="s">
        <v>77</v>
      </c>
      <c r="M12" s="24">
        <v>5</v>
      </c>
    </row>
    <row r="13" spans="2:13" x14ac:dyDescent="0.25">
      <c r="C13" s="25">
        <v>42583</v>
      </c>
      <c r="D13" s="22">
        <v>42</v>
      </c>
      <c r="E13" s="22">
        <v>115</v>
      </c>
      <c r="F13" s="22">
        <v>92</v>
      </c>
      <c r="G13" s="22">
        <f>SUM(D13:F13)</f>
        <v>249</v>
      </c>
      <c r="H13" s="41"/>
      <c r="K13" s="26">
        <f t="shared" ref="K13:K43" si="0">G13*NewPrice</f>
        <v>1245</v>
      </c>
      <c r="L13" s="23" t="s">
        <v>78</v>
      </c>
      <c r="M13" s="24">
        <v>1250</v>
      </c>
    </row>
    <row r="14" spans="2:13" x14ac:dyDescent="0.25">
      <c r="C14" s="25">
        <v>42584</v>
      </c>
      <c r="D14" s="22">
        <v>42</v>
      </c>
      <c r="E14" s="22">
        <v>42</v>
      </c>
      <c r="F14" s="22">
        <v>117</v>
      </c>
      <c r="G14" s="22">
        <f t="shared" ref="G14:G43" si="1">SUM(D14:F14)</f>
        <v>201</v>
      </c>
      <c r="H14" s="24"/>
      <c r="K14" s="26">
        <f t="shared" si="0"/>
        <v>1005</v>
      </c>
      <c r="L14" s="23" t="s">
        <v>79</v>
      </c>
      <c r="M14" s="27"/>
    </row>
    <row r="15" spans="2:13" x14ac:dyDescent="0.25">
      <c r="C15" s="25">
        <v>42585</v>
      </c>
      <c r="D15" s="22">
        <v>105</v>
      </c>
      <c r="E15" s="22">
        <v>124</v>
      </c>
      <c r="F15" s="22">
        <v>64</v>
      </c>
      <c r="G15" s="22">
        <f t="shared" si="1"/>
        <v>293</v>
      </c>
      <c r="H15" s="24"/>
      <c r="K15" s="26">
        <f t="shared" si="0"/>
        <v>1465</v>
      </c>
      <c r="L15" s="23" t="s">
        <v>80</v>
      </c>
      <c r="M15" s="27"/>
    </row>
    <row r="16" spans="2:13" x14ac:dyDescent="0.25">
      <c r="C16" s="25">
        <v>42586</v>
      </c>
      <c r="D16" s="22">
        <v>141</v>
      </c>
      <c r="E16" s="22">
        <v>83</v>
      </c>
      <c r="F16" s="22">
        <v>76</v>
      </c>
      <c r="G16" s="22">
        <f t="shared" si="1"/>
        <v>300</v>
      </c>
      <c r="H16" s="24"/>
      <c r="K16" s="26">
        <f t="shared" si="0"/>
        <v>1500</v>
      </c>
      <c r="L16" s="23" t="s">
        <v>81</v>
      </c>
      <c r="M16" s="27"/>
    </row>
    <row r="17" spans="3:13" x14ac:dyDescent="0.25">
      <c r="C17" s="25">
        <v>42587</v>
      </c>
      <c r="D17" s="22">
        <v>137</v>
      </c>
      <c r="E17" s="22">
        <v>73</v>
      </c>
      <c r="F17" s="22">
        <v>109</v>
      </c>
      <c r="G17" s="22">
        <f t="shared" si="1"/>
        <v>319</v>
      </c>
      <c r="H17" s="24"/>
      <c r="K17" s="26">
        <f t="shared" si="0"/>
        <v>1595</v>
      </c>
      <c r="L17" s="22"/>
    </row>
    <row r="18" spans="3:13" x14ac:dyDescent="0.25">
      <c r="C18" s="25">
        <v>42588</v>
      </c>
      <c r="D18" s="22">
        <v>68</v>
      </c>
      <c r="E18" s="22">
        <v>44</v>
      </c>
      <c r="F18" s="22">
        <v>60</v>
      </c>
      <c r="G18" s="22">
        <f t="shared" si="1"/>
        <v>172</v>
      </c>
      <c r="H18" s="24"/>
      <c r="K18" s="26">
        <f t="shared" si="0"/>
        <v>860</v>
      </c>
      <c r="L18" s="23" t="s">
        <v>82</v>
      </c>
      <c r="M18" s="28">
        <f>AVERAGE(K13:K43)</f>
        <v>1324.8387096774193</v>
      </c>
    </row>
    <row r="19" spans="3:13" x14ac:dyDescent="0.25">
      <c r="C19" s="25">
        <v>42589</v>
      </c>
      <c r="D19" s="22">
        <v>82</v>
      </c>
      <c r="E19" s="22">
        <v>58</v>
      </c>
      <c r="F19" s="22">
        <v>145</v>
      </c>
      <c r="G19" s="22">
        <f t="shared" si="1"/>
        <v>285</v>
      </c>
      <c r="H19" s="24"/>
      <c r="K19" s="26">
        <f t="shared" si="0"/>
        <v>1425</v>
      </c>
      <c r="L19" s="23" t="s">
        <v>83</v>
      </c>
      <c r="M19" s="29">
        <v>5</v>
      </c>
    </row>
    <row r="20" spans="3:13" x14ac:dyDescent="0.25">
      <c r="C20" s="25">
        <v>42590</v>
      </c>
      <c r="D20" s="22">
        <v>125</v>
      </c>
      <c r="E20" s="22">
        <v>96</v>
      </c>
      <c r="F20" s="22">
        <v>92</v>
      </c>
      <c r="G20" s="22">
        <f t="shared" si="1"/>
        <v>313</v>
      </c>
      <c r="H20" s="24"/>
      <c r="K20" s="26">
        <f t="shared" si="0"/>
        <v>1565</v>
      </c>
      <c r="L20" s="22"/>
    </row>
    <row r="21" spans="3:13" x14ac:dyDescent="0.25">
      <c r="C21" s="25">
        <v>42591</v>
      </c>
      <c r="D21" s="22">
        <v>20</v>
      </c>
      <c r="E21" s="22">
        <v>26</v>
      </c>
      <c r="F21" s="22">
        <v>39</v>
      </c>
      <c r="G21" s="22">
        <f t="shared" si="1"/>
        <v>85</v>
      </c>
      <c r="H21" s="24"/>
      <c r="K21" s="26">
        <f t="shared" si="0"/>
        <v>425</v>
      </c>
      <c r="L21" s="23" t="s">
        <v>84</v>
      </c>
    </row>
    <row r="22" spans="3:13" x14ac:dyDescent="0.25">
      <c r="C22" s="25">
        <v>42592</v>
      </c>
      <c r="D22" s="22">
        <v>67</v>
      </c>
      <c r="E22" s="22">
        <v>38</v>
      </c>
      <c r="F22" s="22">
        <v>21</v>
      </c>
      <c r="G22" s="22">
        <f t="shared" si="1"/>
        <v>126</v>
      </c>
      <c r="H22" s="24"/>
      <c r="K22" s="26">
        <f t="shared" si="0"/>
        <v>630</v>
      </c>
      <c r="L22" s="23" t="s">
        <v>85</v>
      </c>
      <c r="M22" s="24"/>
    </row>
    <row r="23" spans="3:13" x14ac:dyDescent="0.25">
      <c r="C23" s="25">
        <v>42593</v>
      </c>
      <c r="D23" s="22">
        <v>121</v>
      </c>
      <c r="E23" s="22">
        <v>124</v>
      </c>
      <c r="F23" s="22">
        <v>132</v>
      </c>
      <c r="G23" s="22">
        <f t="shared" si="1"/>
        <v>377</v>
      </c>
      <c r="H23" s="24"/>
      <c r="K23" s="26">
        <f t="shared" si="0"/>
        <v>1885</v>
      </c>
      <c r="L23" s="22"/>
    </row>
    <row r="24" spans="3:13" x14ac:dyDescent="0.25">
      <c r="C24" s="25">
        <v>42594</v>
      </c>
      <c r="D24" s="22">
        <v>140</v>
      </c>
      <c r="E24" s="22">
        <v>76</v>
      </c>
      <c r="F24" s="22">
        <v>25</v>
      </c>
      <c r="G24" s="22">
        <f t="shared" si="1"/>
        <v>241</v>
      </c>
      <c r="H24" s="24"/>
      <c r="K24" s="26">
        <f t="shared" si="0"/>
        <v>1205</v>
      </c>
      <c r="L24" s="22"/>
    </row>
    <row r="25" spans="3:13" x14ac:dyDescent="0.25">
      <c r="C25" s="25">
        <v>42595</v>
      </c>
      <c r="D25" s="22">
        <v>147</v>
      </c>
      <c r="E25" s="22">
        <v>77</v>
      </c>
      <c r="F25" s="22">
        <v>77</v>
      </c>
      <c r="G25" s="22">
        <f t="shared" si="1"/>
        <v>301</v>
      </c>
      <c r="H25" s="24"/>
      <c r="K25" s="26">
        <f t="shared" si="0"/>
        <v>1505</v>
      </c>
      <c r="L25" s="22"/>
    </row>
    <row r="26" spans="3:13" x14ac:dyDescent="0.25">
      <c r="C26" s="25">
        <v>42596</v>
      </c>
      <c r="D26" s="22">
        <v>86</v>
      </c>
      <c r="E26" s="22">
        <v>128</v>
      </c>
      <c r="F26" s="22">
        <v>59</v>
      </c>
      <c r="G26" s="22">
        <f t="shared" si="1"/>
        <v>273</v>
      </c>
      <c r="H26" s="24"/>
      <c r="K26" s="26">
        <f t="shared" si="0"/>
        <v>1365</v>
      </c>
      <c r="L26" s="22"/>
    </row>
    <row r="27" spans="3:13" x14ac:dyDescent="0.25">
      <c r="C27" s="25">
        <v>42597</v>
      </c>
      <c r="D27" s="22">
        <v>50</v>
      </c>
      <c r="E27" s="22">
        <v>122</v>
      </c>
      <c r="F27" s="22">
        <v>96</v>
      </c>
      <c r="G27" s="22">
        <f t="shared" si="1"/>
        <v>268</v>
      </c>
      <c r="H27" s="24"/>
      <c r="K27" s="26">
        <f t="shared" si="0"/>
        <v>1340</v>
      </c>
      <c r="L27" s="22"/>
    </row>
    <row r="28" spans="3:13" x14ac:dyDescent="0.25">
      <c r="C28" s="25">
        <v>42598</v>
      </c>
      <c r="D28" s="22">
        <v>80</v>
      </c>
      <c r="E28" s="22">
        <v>92</v>
      </c>
      <c r="F28" s="22">
        <v>139</v>
      </c>
      <c r="G28" s="22">
        <f t="shared" si="1"/>
        <v>311</v>
      </c>
      <c r="H28" s="24"/>
      <c r="K28" s="26">
        <f t="shared" si="0"/>
        <v>1555</v>
      </c>
      <c r="L28" s="22"/>
    </row>
    <row r="29" spans="3:13" x14ac:dyDescent="0.25">
      <c r="C29" s="25">
        <v>42599</v>
      </c>
      <c r="D29" s="22">
        <v>41</v>
      </c>
      <c r="E29" s="22">
        <v>69</v>
      </c>
      <c r="F29" s="22">
        <v>59</v>
      </c>
      <c r="G29" s="22">
        <f t="shared" si="1"/>
        <v>169</v>
      </c>
      <c r="H29" s="24"/>
      <c r="K29" s="26">
        <f t="shared" si="0"/>
        <v>845</v>
      </c>
      <c r="L29" s="22"/>
    </row>
    <row r="30" spans="3:13" x14ac:dyDescent="0.25">
      <c r="C30" s="25">
        <v>42600</v>
      </c>
      <c r="D30" s="22">
        <v>26</v>
      </c>
      <c r="E30" s="22">
        <v>38</v>
      </c>
      <c r="F30" s="22">
        <v>125</v>
      </c>
      <c r="G30" s="22">
        <f t="shared" si="1"/>
        <v>189</v>
      </c>
      <c r="H30" s="24"/>
      <c r="K30" s="26">
        <f t="shared" si="0"/>
        <v>945</v>
      </c>
      <c r="L30" s="22"/>
    </row>
    <row r="31" spans="3:13" x14ac:dyDescent="0.25">
      <c r="C31" s="25">
        <v>42601</v>
      </c>
      <c r="D31" s="22">
        <v>93</v>
      </c>
      <c r="E31" s="22">
        <v>41</v>
      </c>
      <c r="F31" s="22">
        <v>133</v>
      </c>
      <c r="G31" s="22">
        <f t="shared" si="1"/>
        <v>267</v>
      </c>
      <c r="H31" s="24"/>
      <c r="K31" s="26">
        <f t="shared" si="0"/>
        <v>1335</v>
      </c>
      <c r="L31" s="22"/>
    </row>
    <row r="32" spans="3:13" x14ac:dyDescent="0.25">
      <c r="C32" s="25">
        <v>42602</v>
      </c>
      <c r="D32" s="22">
        <v>84</v>
      </c>
      <c r="E32" s="22">
        <v>144</v>
      </c>
      <c r="F32" s="22">
        <v>146</v>
      </c>
      <c r="G32" s="22">
        <f t="shared" si="1"/>
        <v>374</v>
      </c>
      <c r="H32" s="24"/>
      <c r="K32" s="26">
        <f t="shared" si="0"/>
        <v>1870</v>
      </c>
      <c r="L32" s="22"/>
    </row>
    <row r="33" spans="3:12" x14ac:dyDescent="0.25">
      <c r="C33" s="25">
        <v>42603</v>
      </c>
      <c r="D33" s="22">
        <v>25</v>
      </c>
      <c r="E33" s="22">
        <v>124</v>
      </c>
      <c r="F33" s="22">
        <v>145</v>
      </c>
      <c r="G33" s="22">
        <f t="shared" si="1"/>
        <v>294</v>
      </c>
      <c r="H33" s="24"/>
      <c r="K33" s="26">
        <f t="shared" si="0"/>
        <v>1470</v>
      </c>
      <c r="L33" s="22"/>
    </row>
    <row r="34" spans="3:12" x14ac:dyDescent="0.25">
      <c r="C34" s="25">
        <v>42604</v>
      </c>
      <c r="D34" s="22">
        <v>107</v>
      </c>
      <c r="E34" s="22">
        <v>60</v>
      </c>
      <c r="F34" s="22">
        <v>142</v>
      </c>
      <c r="G34" s="22">
        <f t="shared" si="1"/>
        <v>309</v>
      </c>
      <c r="H34" s="24"/>
      <c r="K34" s="26">
        <f t="shared" si="0"/>
        <v>1545</v>
      </c>
      <c r="L34" s="22"/>
    </row>
    <row r="35" spans="3:12" x14ac:dyDescent="0.25">
      <c r="C35" s="25">
        <v>42605</v>
      </c>
      <c r="D35" s="22">
        <v>116</v>
      </c>
      <c r="E35" s="22">
        <v>115</v>
      </c>
      <c r="F35" s="22">
        <v>128</v>
      </c>
      <c r="G35" s="22">
        <f t="shared" si="1"/>
        <v>359</v>
      </c>
      <c r="H35" s="24"/>
      <c r="K35" s="26">
        <f t="shared" si="0"/>
        <v>1795</v>
      </c>
      <c r="L35" s="22"/>
    </row>
    <row r="36" spans="3:12" x14ac:dyDescent="0.25">
      <c r="C36" s="25">
        <v>42606</v>
      </c>
      <c r="D36" s="22">
        <v>46</v>
      </c>
      <c r="E36" s="22">
        <v>129</v>
      </c>
      <c r="F36" s="22">
        <v>145</v>
      </c>
      <c r="G36" s="22">
        <f t="shared" si="1"/>
        <v>320</v>
      </c>
      <c r="H36" s="24"/>
      <c r="K36" s="26">
        <f t="shared" si="0"/>
        <v>1600</v>
      </c>
      <c r="L36" s="22"/>
    </row>
    <row r="37" spans="3:12" x14ac:dyDescent="0.25">
      <c r="C37" s="25">
        <v>42607</v>
      </c>
      <c r="D37" s="22">
        <v>44</v>
      </c>
      <c r="E37" s="22">
        <v>112</v>
      </c>
      <c r="F37" s="22">
        <v>99</v>
      </c>
      <c r="G37" s="22">
        <f t="shared" si="1"/>
        <v>255</v>
      </c>
      <c r="H37" s="24"/>
      <c r="K37" s="26">
        <f t="shared" si="0"/>
        <v>1275</v>
      </c>
      <c r="L37" s="22"/>
    </row>
    <row r="38" spans="3:12" x14ac:dyDescent="0.25">
      <c r="C38" s="25">
        <v>42608</v>
      </c>
      <c r="D38" s="22">
        <v>112</v>
      </c>
      <c r="E38" s="22">
        <v>96</v>
      </c>
      <c r="F38" s="22">
        <v>31</v>
      </c>
      <c r="G38" s="22">
        <f t="shared" si="1"/>
        <v>239</v>
      </c>
      <c r="H38" s="24"/>
      <c r="K38" s="26">
        <f t="shared" si="0"/>
        <v>1195</v>
      </c>
      <c r="L38" s="22"/>
    </row>
    <row r="39" spans="3:12" x14ac:dyDescent="0.25">
      <c r="C39" s="25">
        <v>42609</v>
      </c>
      <c r="D39" s="22">
        <v>73</v>
      </c>
      <c r="E39" s="22">
        <v>102</v>
      </c>
      <c r="F39" s="22">
        <v>97</v>
      </c>
      <c r="G39" s="22">
        <f t="shared" si="1"/>
        <v>272</v>
      </c>
      <c r="H39" s="24"/>
      <c r="K39" s="26">
        <f t="shared" si="0"/>
        <v>1360</v>
      </c>
      <c r="L39" s="22"/>
    </row>
    <row r="40" spans="3:12" x14ac:dyDescent="0.25">
      <c r="C40" s="25">
        <v>42610</v>
      </c>
      <c r="D40" s="22">
        <v>100</v>
      </c>
      <c r="E40" s="22">
        <v>89</v>
      </c>
      <c r="F40" s="22">
        <v>109</v>
      </c>
      <c r="G40" s="22">
        <f t="shared" si="1"/>
        <v>298</v>
      </c>
      <c r="H40" s="24"/>
      <c r="K40" s="26">
        <f t="shared" si="0"/>
        <v>1490</v>
      </c>
      <c r="L40" s="22"/>
    </row>
    <row r="41" spans="3:12" x14ac:dyDescent="0.25">
      <c r="C41" s="25">
        <v>42611</v>
      </c>
      <c r="D41" s="22">
        <v>55</v>
      </c>
      <c r="E41" s="22">
        <v>30</v>
      </c>
      <c r="F41" s="22">
        <v>75</v>
      </c>
      <c r="G41" s="22">
        <f t="shared" si="1"/>
        <v>160</v>
      </c>
      <c r="H41" s="24"/>
      <c r="K41" s="26">
        <f t="shared" si="0"/>
        <v>800</v>
      </c>
      <c r="L41" s="22"/>
    </row>
    <row r="42" spans="3:12" x14ac:dyDescent="0.25">
      <c r="C42" s="25">
        <v>42612</v>
      </c>
      <c r="D42" s="22">
        <v>137</v>
      </c>
      <c r="E42" s="22">
        <v>117</v>
      </c>
      <c r="F42" s="22">
        <v>97</v>
      </c>
      <c r="G42" s="22">
        <f t="shared" si="1"/>
        <v>351</v>
      </c>
      <c r="H42" s="24"/>
      <c r="K42" s="26">
        <f t="shared" si="0"/>
        <v>1755</v>
      </c>
      <c r="L42" s="22"/>
    </row>
    <row r="43" spans="3:12" x14ac:dyDescent="0.25">
      <c r="C43" s="25">
        <v>42613</v>
      </c>
      <c r="D43" s="22">
        <v>125</v>
      </c>
      <c r="E43" s="22">
        <v>39</v>
      </c>
      <c r="F43" s="22">
        <v>80</v>
      </c>
      <c r="G43" s="22">
        <f t="shared" si="1"/>
        <v>244</v>
      </c>
      <c r="H43" s="24"/>
      <c r="K43" s="26">
        <f t="shared" si="0"/>
        <v>1220</v>
      </c>
      <c r="L43" s="22"/>
    </row>
  </sheetData>
  <mergeCells count="9">
    <mergeCell ref="C7:K7"/>
    <mergeCell ref="C8:K8"/>
    <mergeCell ref="C10:K10"/>
    <mergeCell ref="C2:K2"/>
    <mergeCell ref="C3:K3"/>
    <mergeCell ref="C4:K4"/>
    <mergeCell ref="C6:K6"/>
    <mergeCell ref="C5:K5"/>
    <mergeCell ref="C9:K9"/>
  </mergeCells>
  <pageMargins left="0.7" right="0.7" top="0.75" bottom="0.75" header="0.3" footer="0.3"/>
  <pageSetup orientation="portrait" r:id="rId1"/>
  <ignoredErrors>
    <ignoredError sqref="G1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43"/>
  <sheetViews>
    <sheetView workbookViewId="0"/>
  </sheetViews>
  <sheetFormatPr defaultColWidth="8.85546875" defaultRowHeight="15" x14ac:dyDescent="0.25"/>
  <cols>
    <col min="1" max="1" width="2.28515625" customWidth="1"/>
    <col min="4" max="4" width="12.85546875" style="22" bestFit="1" customWidth="1"/>
    <col min="5" max="5" width="20.85546875" style="22" bestFit="1" customWidth="1"/>
    <col min="6" max="6" width="18.42578125" style="22" bestFit="1" customWidth="1"/>
    <col min="7" max="7" width="17.42578125" style="22" customWidth="1"/>
    <col min="8" max="8" width="14.28515625" style="22" customWidth="1"/>
    <col min="9" max="9" width="15.140625" style="22" bestFit="1" customWidth="1"/>
    <col min="10" max="10" width="4.140625" style="22" customWidth="1"/>
    <col min="11" max="11" width="15.85546875" style="22" bestFit="1" customWidth="1"/>
    <col min="12" max="12" width="25.7109375" bestFit="1" customWidth="1"/>
  </cols>
  <sheetData>
    <row r="1" spans="2:13" ht="12" customHeight="1" thickBot="1" x14ac:dyDescent="0.3">
      <c r="D1"/>
      <c r="E1"/>
      <c r="F1"/>
      <c r="G1"/>
      <c r="H1"/>
      <c r="I1"/>
      <c r="J1"/>
      <c r="K1"/>
    </row>
    <row r="2" spans="2:13" ht="19.5" thickTop="1" x14ac:dyDescent="0.3">
      <c r="B2" s="58"/>
      <c r="C2" s="134" t="s">
        <v>89</v>
      </c>
      <c r="D2" s="134"/>
      <c r="E2" s="134"/>
      <c r="F2" s="134"/>
      <c r="G2" s="134"/>
      <c r="H2" s="134"/>
      <c r="I2" s="134"/>
      <c r="J2" s="134"/>
      <c r="K2" s="135"/>
    </row>
    <row r="3" spans="2:13" x14ac:dyDescent="0.25">
      <c r="B3" s="59">
        <v>1</v>
      </c>
      <c r="C3" s="140" t="s">
        <v>1252</v>
      </c>
      <c r="D3" s="140"/>
      <c r="E3" s="140"/>
      <c r="F3" s="140"/>
      <c r="G3" s="140"/>
      <c r="H3" s="140"/>
      <c r="I3" s="140"/>
      <c r="J3" s="140"/>
      <c r="K3" s="141"/>
    </row>
    <row r="4" spans="2:13" ht="15" customHeight="1" x14ac:dyDescent="0.25">
      <c r="B4" s="59">
        <v>2</v>
      </c>
      <c r="C4" s="136" t="s">
        <v>91</v>
      </c>
      <c r="D4" s="136"/>
      <c r="E4" s="136"/>
      <c r="F4" s="136"/>
      <c r="G4" s="136"/>
      <c r="H4" s="136"/>
      <c r="I4" s="136"/>
      <c r="J4" s="136"/>
      <c r="K4" s="137"/>
    </row>
    <row r="5" spans="2:13" ht="15" customHeight="1" x14ac:dyDescent="0.25">
      <c r="B5" s="59">
        <v>3</v>
      </c>
      <c r="C5" s="136" t="s">
        <v>92</v>
      </c>
      <c r="D5" s="136"/>
      <c r="E5" s="136"/>
      <c r="F5" s="136"/>
      <c r="G5" s="136"/>
      <c r="H5" s="136"/>
      <c r="I5" s="136"/>
      <c r="J5" s="136"/>
      <c r="K5" s="137"/>
    </row>
    <row r="6" spans="2:13" x14ac:dyDescent="0.25">
      <c r="B6" s="59">
        <v>4</v>
      </c>
      <c r="C6" s="136" t="s">
        <v>90</v>
      </c>
      <c r="D6" s="136"/>
      <c r="E6" s="136"/>
      <c r="F6" s="136"/>
      <c r="G6" s="136"/>
      <c r="H6" s="136"/>
      <c r="I6" s="136"/>
      <c r="J6" s="136"/>
      <c r="K6" s="137"/>
    </row>
    <row r="7" spans="2:13" ht="15.75" thickBot="1" x14ac:dyDescent="0.3">
      <c r="B7" s="60"/>
      <c r="C7" s="138"/>
      <c r="D7" s="138"/>
      <c r="E7" s="138"/>
      <c r="F7" s="138"/>
      <c r="G7" s="138"/>
      <c r="H7" s="138"/>
      <c r="I7" s="138"/>
      <c r="J7" s="138"/>
      <c r="K7" s="139"/>
    </row>
    <row r="8" spans="2:13" ht="15.75" thickTop="1" x14ac:dyDescent="0.25">
      <c r="B8" s="50"/>
      <c r="C8" s="99"/>
      <c r="D8" s="99"/>
      <c r="E8" s="99"/>
      <c r="F8" s="99"/>
      <c r="G8" s="99"/>
      <c r="H8" s="99"/>
      <c r="I8" s="99"/>
      <c r="J8" s="99"/>
      <c r="K8" s="99"/>
    </row>
    <row r="9" spans="2:13" x14ac:dyDescent="0.25">
      <c r="B9" s="50"/>
      <c r="C9" s="99"/>
      <c r="D9" s="99"/>
      <c r="E9" s="99"/>
      <c r="F9" s="99"/>
      <c r="G9" s="99"/>
      <c r="H9" s="99"/>
      <c r="I9" s="99"/>
      <c r="J9" s="99"/>
      <c r="K9" s="99"/>
    </row>
    <row r="10" spans="2:13" x14ac:dyDescent="0.25">
      <c r="D10"/>
      <c r="E10"/>
      <c r="F10"/>
      <c r="G10"/>
      <c r="H10"/>
      <c r="I10"/>
      <c r="J10"/>
      <c r="K10"/>
    </row>
    <row r="11" spans="2:13" x14ac:dyDescent="0.25">
      <c r="C11" s="35" t="s">
        <v>6</v>
      </c>
      <c r="D11" s="35" t="s">
        <v>10</v>
      </c>
      <c r="E11" s="35" t="s">
        <v>73</v>
      </c>
      <c r="F11" s="35" t="s">
        <v>15</v>
      </c>
      <c r="G11" s="35" t="s">
        <v>74</v>
      </c>
      <c r="H11" s="33" t="s">
        <v>75</v>
      </c>
      <c r="I11" s="33" t="s">
        <v>76</v>
      </c>
      <c r="K11" s="34" t="s">
        <v>87</v>
      </c>
      <c r="L11" s="23" t="s">
        <v>77</v>
      </c>
      <c r="M11" s="24">
        <v>6</v>
      </c>
    </row>
    <row r="12" spans="2:13" x14ac:dyDescent="0.25">
      <c r="C12" s="25">
        <v>42583</v>
      </c>
      <c r="D12" s="22">
        <v>36</v>
      </c>
      <c r="E12" s="22">
        <v>80</v>
      </c>
      <c r="F12" s="22">
        <v>22</v>
      </c>
      <c r="G12" s="22">
        <f>SUM(D12:F12)</f>
        <v>138</v>
      </c>
      <c r="H12" s="24">
        <f>G12*$M$11</f>
        <v>828</v>
      </c>
      <c r="I12" s="22" t="str">
        <f>IF(H12&gt;=$M$12,"Yes","No")</f>
        <v>No</v>
      </c>
      <c r="K12" s="26">
        <f t="shared" ref="K12:K42" si="0">G12*NewPrice</f>
        <v>0</v>
      </c>
      <c r="L12" s="23" t="s">
        <v>78</v>
      </c>
      <c r="M12" s="24">
        <v>1250</v>
      </c>
    </row>
    <row r="13" spans="2:13" x14ac:dyDescent="0.25">
      <c r="C13" s="25">
        <v>42584</v>
      </c>
      <c r="D13" s="22">
        <v>45</v>
      </c>
      <c r="E13" s="22">
        <v>97</v>
      </c>
      <c r="F13" s="22">
        <v>114</v>
      </c>
      <c r="G13" s="22">
        <f t="shared" ref="G13:G42" si="1">SUM(D13:F13)</f>
        <v>256</v>
      </c>
      <c r="H13" s="24">
        <f t="shared" ref="H13:H42" si="2">G13*$M$11</f>
        <v>1536</v>
      </c>
      <c r="I13" s="22" t="str">
        <f t="shared" ref="I13:I42" si="3">IF(H13&gt;=$M$12,"Yes","No")</f>
        <v>Yes</v>
      </c>
      <c r="K13" s="26">
        <f t="shared" si="0"/>
        <v>0</v>
      </c>
      <c r="L13" s="23" t="s">
        <v>79</v>
      </c>
      <c r="M13" s="27"/>
    </row>
    <row r="14" spans="2:13" x14ac:dyDescent="0.25">
      <c r="C14" s="25">
        <v>42585</v>
      </c>
      <c r="D14" s="22">
        <v>79</v>
      </c>
      <c r="E14" s="22">
        <v>75</v>
      </c>
      <c r="F14" s="22">
        <v>105</v>
      </c>
      <c r="G14" s="22">
        <f t="shared" si="1"/>
        <v>259</v>
      </c>
      <c r="H14" s="24">
        <f t="shared" si="2"/>
        <v>1554</v>
      </c>
      <c r="I14" s="22" t="str">
        <f t="shared" si="3"/>
        <v>Yes</v>
      </c>
      <c r="K14" s="26">
        <f t="shared" si="0"/>
        <v>0</v>
      </c>
      <c r="L14" s="23" t="s">
        <v>80</v>
      </c>
      <c r="M14" s="27"/>
    </row>
    <row r="15" spans="2:13" x14ac:dyDescent="0.25">
      <c r="C15" s="25">
        <v>42586</v>
      </c>
      <c r="D15" s="22">
        <v>101</v>
      </c>
      <c r="E15" s="22">
        <v>109</v>
      </c>
      <c r="F15" s="22">
        <v>69</v>
      </c>
      <c r="G15" s="22">
        <f t="shared" si="1"/>
        <v>279</v>
      </c>
      <c r="H15" s="24">
        <f t="shared" si="2"/>
        <v>1674</v>
      </c>
      <c r="I15" s="22" t="str">
        <f t="shared" si="3"/>
        <v>Yes</v>
      </c>
      <c r="K15" s="26">
        <f t="shared" si="0"/>
        <v>0</v>
      </c>
      <c r="L15" s="23" t="s">
        <v>81</v>
      </c>
      <c r="M15" s="27"/>
    </row>
    <row r="16" spans="2:13" x14ac:dyDescent="0.25">
      <c r="C16" s="25">
        <v>42587</v>
      </c>
      <c r="D16" s="22">
        <v>52</v>
      </c>
      <c r="E16" s="22">
        <v>97</v>
      </c>
      <c r="F16" s="22">
        <v>84</v>
      </c>
      <c r="G16" s="22">
        <f t="shared" si="1"/>
        <v>233</v>
      </c>
      <c r="H16" s="24">
        <f t="shared" si="2"/>
        <v>1398</v>
      </c>
      <c r="I16" s="22" t="str">
        <f t="shared" si="3"/>
        <v>Yes</v>
      </c>
      <c r="K16" s="26">
        <f t="shared" si="0"/>
        <v>0</v>
      </c>
      <c r="L16" s="22"/>
    </row>
    <row r="17" spans="3:13" x14ac:dyDescent="0.25">
      <c r="C17" s="25">
        <v>42588</v>
      </c>
      <c r="D17" s="22">
        <v>20</v>
      </c>
      <c r="E17" s="22">
        <v>31</v>
      </c>
      <c r="F17" s="22">
        <v>72</v>
      </c>
      <c r="G17" s="22">
        <f t="shared" si="1"/>
        <v>123</v>
      </c>
      <c r="H17" s="24">
        <f t="shared" si="2"/>
        <v>738</v>
      </c>
      <c r="I17" s="22" t="str">
        <f t="shared" si="3"/>
        <v>No</v>
      </c>
      <c r="K17" s="26">
        <f t="shared" si="0"/>
        <v>0</v>
      </c>
      <c r="L17" s="23" t="s">
        <v>82</v>
      </c>
      <c r="M17" s="28">
        <f>AVERAGE(K12:K42)</f>
        <v>0</v>
      </c>
    </row>
    <row r="18" spans="3:13" x14ac:dyDescent="0.25">
      <c r="C18" s="25">
        <v>42589</v>
      </c>
      <c r="D18" s="22">
        <v>48</v>
      </c>
      <c r="E18" s="22">
        <v>99</v>
      </c>
      <c r="F18" s="22">
        <v>27</v>
      </c>
      <c r="G18" s="22">
        <f t="shared" si="1"/>
        <v>174</v>
      </c>
      <c r="H18" s="24">
        <f t="shared" si="2"/>
        <v>1044</v>
      </c>
      <c r="I18" s="22" t="str">
        <f t="shared" si="3"/>
        <v>No</v>
      </c>
      <c r="K18" s="26">
        <f t="shared" si="0"/>
        <v>0</v>
      </c>
      <c r="L18" s="23" t="s">
        <v>83</v>
      </c>
      <c r="M18" s="29"/>
    </row>
    <row r="19" spans="3:13" x14ac:dyDescent="0.25">
      <c r="C19" s="25">
        <v>42590</v>
      </c>
      <c r="D19" s="22">
        <v>19</v>
      </c>
      <c r="E19" s="22">
        <v>145</v>
      </c>
      <c r="F19" s="22">
        <v>83</v>
      </c>
      <c r="G19" s="22">
        <f t="shared" si="1"/>
        <v>247</v>
      </c>
      <c r="H19" s="24">
        <f t="shared" si="2"/>
        <v>1482</v>
      </c>
      <c r="I19" s="22" t="str">
        <f t="shared" si="3"/>
        <v>Yes</v>
      </c>
      <c r="K19" s="26">
        <f t="shared" si="0"/>
        <v>0</v>
      </c>
      <c r="L19" s="22"/>
    </row>
    <row r="20" spans="3:13" x14ac:dyDescent="0.25">
      <c r="C20" s="25">
        <v>42591</v>
      </c>
      <c r="D20" s="22">
        <v>122</v>
      </c>
      <c r="E20" s="22">
        <v>128</v>
      </c>
      <c r="F20" s="22">
        <v>46</v>
      </c>
      <c r="G20" s="22">
        <f t="shared" si="1"/>
        <v>296</v>
      </c>
      <c r="H20" s="24">
        <f t="shared" si="2"/>
        <v>1776</v>
      </c>
      <c r="I20" s="22" t="str">
        <f t="shared" si="3"/>
        <v>Yes</v>
      </c>
      <c r="K20" s="26">
        <f t="shared" si="0"/>
        <v>0</v>
      </c>
      <c r="L20" s="23"/>
    </row>
    <row r="21" spans="3:13" x14ac:dyDescent="0.25">
      <c r="C21" s="25">
        <v>42592</v>
      </c>
      <c r="D21" s="22">
        <v>77</v>
      </c>
      <c r="E21" s="22">
        <v>142</v>
      </c>
      <c r="F21" s="22">
        <v>102</v>
      </c>
      <c r="G21" s="22">
        <f t="shared" si="1"/>
        <v>321</v>
      </c>
      <c r="H21" s="24">
        <f t="shared" si="2"/>
        <v>1926</v>
      </c>
      <c r="I21" s="22" t="str">
        <f t="shared" si="3"/>
        <v>Yes</v>
      </c>
      <c r="K21" s="26">
        <f t="shared" si="0"/>
        <v>0</v>
      </c>
      <c r="L21" s="23"/>
      <c r="M21" s="24"/>
    </row>
    <row r="22" spans="3:13" x14ac:dyDescent="0.25">
      <c r="C22" s="25">
        <v>42593</v>
      </c>
      <c r="D22" s="22">
        <v>89</v>
      </c>
      <c r="E22" s="22">
        <v>145</v>
      </c>
      <c r="F22" s="22">
        <v>103</v>
      </c>
      <c r="G22" s="22">
        <f t="shared" si="1"/>
        <v>337</v>
      </c>
      <c r="H22" s="24">
        <f t="shared" si="2"/>
        <v>2022</v>
      </c>
      <c r="I22" s="22" t="str">
        <f t="shared" si="3"/>
        <v>Yes</v>
      </c>
      <c r="K22" s="26">
        <f t="shared" si="0"/>
        <v>0</v>
      </c>
      <c r="L22" s="22"/>
    </row>
    <row r="23" spans="3:13" x14ac:dyDescent="0.25">
      <c r="C23" s="25">
        <v>42594</v>
      </c>
      <c r="D23" s="22">
        <v>115</v>
      </c>
      <c r="E23" s="22">
        <v>146</v>
      </c>
      <c r="F23" s="22">
        <v>19</v>
      </c>
      <c r="G23" s="22">
        <f t="shared" si="1"/>
        <v>280</v>
      </c>
      <c r="H23" s="24">
        <f t="shared" si="2"/>
        <v>1680</v>
      </c>
      <c r="I23" s="22" t="str">
        <f t="shared" si="3"/>
        <v>Yes</v>
      </c>
      <c r="K23" s="26">
        <f t="shared" si="0"/>
        <v>0</v>
      </c>
      <c r="L23" s="22"/>
    </row>
    <row r="24" spans="3:13" x14ac:dyDescent="0.25">
      <c r="C24" s="25">
        <v>42595</v>
      </c>
      <c r="D24" s="22">
        <v>147</v>
      </c>
      <c r="E24" s="22">
        <v>133</v>
      </c>
      <c r="F24" s="22">
        <v>59</v>
      </c>
      <c r="G24" s="22">
        <f t="shared" si="1"/>
        <v>339</v>
      </c>
      <c r="H24" s="24">
        <f t="shared" si="2"/>
        <v>2034</v>
      </c>
      <c r="I24" s="22" t="str">
        <f t="shared" si="3"/>
        <v>Yes</v>
      </c>
      <c r="K24" s="26">
        <f t="shared" si="0"/>
        <v>0</v>
      </c>
      <c r="L24" s="22"/>
    </row>
    <row r="25" spans="3:13" x14ac:dyDescent="0.25">
      <c r="C25" s="25">
        <v>42596</v>
      </c>
      <c r="D25" s="22">
        <v>41</v>
      </c>
      <c r="E25" s="22">
        <v>125</v>
      </c>
      <c r="F25" s="22">
        <v>59</v>
      </c>
      <c r="G25" s="22">
        <f t="shared" si="1"/>
        <v>225</v>
      </c>
      <c r="H25" s="24">
        <f t="shared" si="2"/>
        <v>1350</v>
      </c>
      <c r="I25" s="22" t="str">
        <f t="shared" si="3"/>
        <v>Yes</v>
      </c>
      <c r="K25" s="26">
        <f t="shared" si="0"/>
        <v>0</v>
      </c>
      <c r="L25" s="22"/>
    </row>
    <row r="26" spans="3:13" x14ac:dyDescent="0.25">
      <c r="C26" s="25">
        <v>42597</v>
      </c>
      <c r="D26" s="22">
        <v>70</v>
      </c>
      <c r="E26" s="22">
        <v>59</v>
      </c>
      <c r="F26" s="22">
        <v>96</v>
      </c>
      <c r="G26" s="22">
        <f t="shared" si="1"/>
        <v>225</v>
      </c>
      <c r="H26" s="24">
        <f t="shared" si="2"/>
        <v>1350</v>
      </c>
      <c r="I26" s="22" t="str">
        <f t="shared" si="3"/>
        <v>Yes</v>
      </c>
      <c r="K26" s="26">
        <f t="shared" si="0"/>
        <v>0</v>
      </c>
      <c r="L26" s="22"/>
    </row>
    <row r="27" spans="3:13" x14ac:dyDescent="0.25">
      <c r="C27" s="25">
        <v>42598</v>
      </c>
      <c r="D27" s="22">
        <v>25</v>
      </c>
      <c r="E27" s="22">
        <v>139</v>
      </c>
      <c r="F27" s="22">
        <v>149</v>
      </c>
      <c r="G27" s="22">
        <f t="shared" si="1"/>
        <v>313</v>
      </c>
      <c r="H27" s="24">
        <f t="shared" si="2"/>
        <v>1878</v>
      </c>
      <c r="I27" s="22" t="str">
        <f t="shared" si="3"/>
        <v>Yes</v>
      </c>
      <c r="K27" s="26">
        <f t="shared" si="0"/>
        <v>0</v>
      </c>
      <c r="L27" s="22"/>
    </row>
    <row r="28" spans="3:13" x14ac:dyDescent="0.25">
      <c r="C28" s="25">
        <v>42599</v>
      </c>
      <c r="D28" s="22">
        <v>26</v>
      </c>
      <c r="E28" s="22">
        <v>96</v>
      </c>
      <c r="F28" s="22">
        <v>68</v>
      </c>
      <c r="G28" s="22">
        <f t="shared" si="1"/>
        <v>190</v>
      </c>
      <c r="H28" s="24">
        <f t="shared" si="2"/>
        <v>1140</v>
      </c>
      <c r="I28" s="22" t="str">
        <f t="shared" si="3"/>
        <v>No</v>
      </c>
      <c r="K28" s="26">
        <f t="shared" si="0"/>
        <v>0</v>
      </c>
      <c r="L28" s="22"/>
    </row>
    <row r="29" spans="3:13" x14ac:dyDescent="0.25">
      <c r="C29" s="25">
        <v>42600</v>
      </c>
      <c r="D29" s="22">
        <v>93</v>
      </c>
      <c r="E29" s="22">
        <v>59</v>
      </c>
      <c r="F29" s="22">
        <v>112</v>
      </c>
      <c r="G29" s="22">
        <f t="shared" si="1"/>
        <v>264</v>
      </c>
      <c r="H29" s="24">
        <f t="shared" si="2"/>
        <v>1584</v>
      </c>
      <c r="I29" s="22" t="str">
        <f t="shared" si="3"/>
        <v>Yes</v>
      </c>
      <c r="K29" s="26">
        <f t="shared" si="0"/>
        <v>0</v>
      </c>
      <c r="L29" s="22"/>
    </row>
    <row r="30" spans="3:13" x14ac:dyDescent="0.25">
      <c r="C30" s="25">
        <v>42601</v>
      </c>
      <c r="D30" s="22">
        <v>21</v>
      </c>
      <c r="E30" s="22">
        <v>77</v>
      </c>
      <c r="F30" s="22">
        <v>131</v>
      </c>
      <c r="G30" s="22">
        <f t="shared" si="1"/>
        <v>229</v>
      </c>
      <c r="H30" s="24">
        <f t="shared" si="2"/>
        <v>1374</v>
      </c>
      <c r="I30" s="22" t="str">
        <f t="shared" si="3"/>
        <v>Yes</v>
      </c>
      <c r="K30" s="26">
        <f t="shared" si="0"/>
        <v>0</v>
      </c>
      <c r="L30" s="22"/>
    </row>
    <row r="31" spans="3:13" x14ac:dyDescent="0.25">
      <c r="C31" s="25">
        <v>42602</v>
      </c>
      <c r="D31" s="22">
        <v>118</v>
      </c>
      <c r="E31" s="22">
        <v>25</v>
      </c>
      <c r="F31" s="22">
        <v>147</v>
      </c>
      <c r="G31" s="22">
        <f t="shared" si="1"/>
        <v>290</v>
      </c>
      <c r="H31" s="24">
        <f t="shared" si="2"/>
        <v>1740</v>
      </c>
      <c r="I31" s="22" t="str">
        <f t="shared" si="3"/>
        <v>Yes</v>
      </c>
      <c r="K31" s="26">
        <f t="shared" si="0"/>
        <v>0</v>
      </c>
      <c r="L31" s="22"/>
    </row>
    <row r="32" spans="3:13" x14ac:dyDescent="0.25">
      <c r="C32" s="25">
        <v>42603</v>
      </c>
      <c r="D32" s="22">
        <v>65</v>
      </c>
      <c r="E32" s="22">
        <v>132</v>
      </c>
      <c r="F32" s="22">
        <v>145</v>
      </c>
      <c r="G32" s="22">
        <f t="shared" si="1"/>
        <v>342</v>
      </c>
      <c r="H32" s="24">
        <f t="shared" si="2"/>
        <v>2052</v>
      </c>
      <c r="I32" s="22" t="str">
        <f t="shared" si="3"/>
        <v>Yes</v>
      </c>
      <c r="K32" s="26">
        <f t="shared" si="0"/>
        <v>0</v>
      </c>
      <c r="L32" s="22"/>
    </row>
    <row r="33" spans="3:12" x14ac:dyDescent="0.25">
      <c r="C33" s="25">
        <v>42604</v>
      </c>
      <c r="D33" s="22">
        <v>107</v>
      </c>
      <c r="E33" s="22">
        <v>21</v>
      </c>
      <c r="F33" s="22">
        <v>142</v>
      </c>
      <c r="G33" s="22">
        <f t="shared" si="1"/>
        <v>270</v>
      </c>
      <c r="H33" s="24">
        <f t="shared" si="2"/>
        <v>1620</v>
      </c>
      <c r="I33" s="22" t="str">
        <f t="shared" si="3"/>
        <v>Yes</v>
      </c>
      <c r="K33" s="26">
        <f t="shared" si="0"/>
        <v>0</v>
      </c>
      <c r="L33" s="22"/>
    </row>
    <row r="34" spans="3:12" x14ac:dyDescent="0.25">
      <c r="C34" s="25">
        <v>42605</v>
      </c>
      <c r="D34" s="22">
        <v>39</v>
      </c>
      <c r="E34" s="22">
        <v>39</v>
      </c>
      <c r="F34" s="22">
        <v>128</v>
      </c>
      <c r="G34" s="22">
        <f t="shared" si="1"/>
        <v>206</v>
      </c>
      <c r="H34" s="24">
        <f t="shared" si="2"/>
        <v>1236</v>
      </c>
      <c r="I34" s="22" t="str">
        <f t="shared" si="3"/>
        <v>No</v>
      </c>
      <c r="K34" s="26">
        <f t="shared" si="0"/>
        <v>0</v>
      </c>
      <c r="L34" s="22"/>
    </row>
    <row r="35" spans="3:12" x14ac:dyDescent="0.25">
      <c r="C35" s="25">
        <v>42606</v>
      </c>
      <c r="D35" s="22">
        <v>117</v>
      </c>
      <c r="E35" s="22">
        <v>92</v>
      </c>
      <c r="F35" s="22">
        <v>145</v>
      </c>
      <c r="G35" s="22">
        <f t="shared" si="1"/>
        <v>354</v>
      </c>
      <c r="H35" s="24">
        <f t="shared" si="2"/>
        <v>2124</v>
      </c>
      <c r="I35" s="22" t="str">
        <f t="shared" si="3"/>
        <v>Yes</v>
      </c>
      <c r="K35" s="26">
        <f t="shared" si="0"/>
        <v>0</v>
      </c>
      <c r="L35" s="22"/>
    </row>
    <row r="36" spans="3:12" x14ac:dyDescent="0.25">
      <c r="C36" s="25">
        <v>42607</v>
      </c>
      <c r="D36" s="22">
        <v>30</v>
      </c>
      <c r="E36" s="22">
        <v>145</v>
      </c>
      <c r="F36" s="22">
        <v>77</v>
      </c>
      <c r="G36" s="22">
        <f t="shared" si="1"/>
        <v>252</v>
      </c>
      <c r="H36" s="24">
        <f t="shared" si="2"/>
        <v>1512</v>
      </c>
      <c r="I36" s="22" t="str">
        <f t="shared" si="3"/>
        <v>Yes</v>
      </c>
      <c r="K36" s="26">
        <f t="shared" si="0"/>
        <v>0</v>
      </c>
      <c r="L36" s="22"/>
    </row>
    <row r="37" spans="3:12" x14ac:dyDescent="0.25">
      <c r="C37" s="25">
        <v>42608</v>
      </c>
      <c r="D37" s="22">
        <v>89</v>
      </c>
      <c r="E37" s="22">
        <v>60</v>
      </c>
      <c r="F37" s="22">
        <v>32</v>
      </c>
      <c r="G37" s="22">
        <f t="shared" si="1"/>
        <v>181</v>
      </c>
      <c r="H37" s="24">
        <f t="shared" si="2"/>
        <v>1086</v>
      </c>
      <c r="I37" s="22" t="str">
        <f t="shared" si="3"/>
        <v>No</v>
      </c>
      <c r="K37" s="26">
        <f t="shared" si="0"/>
        <v>0</v>
      </c>
      <c r="L37" s="22"/>
    </row>
    <row r="38" spans="3:12" x14ac:dyDescent="0.25">
      <c r="C38" s="25">
        <v>42609</v>
      </c>
      <c r="D38" s="22">
        <v>102</v>
      </c>
      <c r="E38" s="22">
        <v>109</v>
      </c>
      <c r="F38" s="22">
        <v>64</v>
      </c>
      <c r="G38" s="22">
        <f t="shared" si="1"/>
        <v>275</v>
      </c>
      <c r="H38" s="24">
        <f t="shared" si="2"/>
        <v>1650</v>
      </c>
      <c r="I38" s="22" t="str">
        <f t="shared" si="3"/>
        <v>Yes</v>
      </c>
      <c r="K38" s="26">
        <f t="shared" si="0"/>
        <v>0</v>
      </c>
      <c r="L38" s="22"/>
    </row>
    <row r="39" spans="3:12" x14ac:dyDescent="0.25">
      <c r="C39" s="25">
        <v>42610</v>
      </c>
      <c r="D39" s="22">
        <v>96</v>
      </c>
      <c r="E39" s="22">
        <v>76</v>
      </c>
      <c r="F39" s="22">
        <v>108</v>
      </c>
      <c r="G39" s="22">
        <f t="shared" si="1"/>
        <v>280</v>
      </c>
      <c r="H39" s="24">
        <f t="shared" si="2"/>
        <v>1680</v>
      </c>
      <c r="I39" s="22" t="str">
        <f t="shared" si="3"/>
        <v>Yes</v>
      </c>
      <c r="K39" s="26">
        <f t="shared" si="0"/>
        <v>0</v>
      </c>
      <c r="L39" s="22"/>
    </row>
    <row r="40" spans="3:12" x14ac:dyDescent="0.25">
      <c r="C40" s="25">
        <v>42611</v>
      </c>
      <c r="D40" s="22">
        <v>112</v>
      </c>
      <c r="E40" s="22">
        <v>64</v>
      </c>
      <c r="F40" s="22">
        <v>74</v>
      </c>
      <c r="G40" s="22">
        <f t="shared" si="1"/>
        <v>250</v>
      </c>
      <c r="H40" s="24">
        <f t="shared" si="2"/>
        <v>1500</v>
      </c>
      <c r="I40" s="22" t="str">
        <f t="shared" si="3"/>
        <v>Yes</v>
      </c>
      <c r="K40" s="26">
        <f t="shared" si="0"/>
        <v>0</v>
      </c>
      <c r="L40" s="22"/>
    </row>
    <row r="41" spans="3:12" x14ac:dyDescent="0.25">
      <c r="C41" s="25">
        <v>42612</v>
      </c>
      <c r="D41" s="22">
        <v>89</v>
      </c>
      <c r="E41" s="22">
        <v>117</v>
      </c>
      <c r="F41" s="22">
        <v>19</v>
      </c>
      <c r="G41" s="22">
        <f t="shared" si="1"/>
        <v>225</v>
      </c>
      <c r="H41" s="24">
        <f t="shared" si="2"/>
        <v>1350</v>
      </c>
      <c r="I41" s="22" t="str">
        <f t="shared" si="3"/>
        <v>Yes</v>
      </c>
      <c r="K41" s="26">
        <f t="shared" si="0"/>
        <v>0</v>
      </c>
      <c r="L41" s="22"/>
    </row>
    <row r="42" spans="3:12" x14ac:dyDescent="0.25">
      <c r="C42" s="25">
        <v>42613</v>
      </c>
      <c r="D42" s="22">
        <v>39</v>
      </c>
      <c r="E42" s="22">
        <v>92</v>
      </c>
      <c r="F42" s="22">
        <v>80</v>
      </c>
      <c r="G42" s="22">
        <f t="shared" si="1"/>
        <v>211</v>
      </c>
      <c r="H42" s="24">
        <f t="shared" si="2"/>
        <v>1266</v>
      </c>
      <c r="I42" s="22" t="str">
        <f t="shared" si="3"/>
        <v>Yes</v>
      </c>
      <c r="K42" s="26">
        <f t="shared" si="0"/>
        <v>0</v>
      </c>
      <c r="L42" s="22"/>
    </row>
    <row r="43" spans="3:12" x14ac:dyDescent="0.25">
      <c r="D43" s="36"/>
      <c r="E43" s="36"/>
      <c r="F43" s="36"/>
      <c r="G43" s="36"/>
      <c r="H43" s="37"/>
    </row>
  </sheetData>
  <mergeCells count="8">
    <mergeCell ref="C8:K8"/>
    <mergeCell ref="C9:K9"/>
    <mergeCell ref="C2:K2"/>
    <mergeCell ref="C4:K4"/>
    <mergeCell ref="C5:K5"/>
    <mergeCell ref="C6:K6"/>
    <mergeCell ref="C7:K7"/>
    <mergeCell ref="C3:K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CB9B-3616-45F7-902D-91A76D0BE242}">
  <dimension ref="A1:K285"/>
  <sheetViews>
    <sheetView workbookViewId="0">
      <selection activeCell="K10" sqref="K10"/>
    </sheetView>
  </sheetViews>
  <sheetFormatPr defaultRowHeight="15" x14ac:dyDescent="0.2"/>
  <cols>
    <col min="1" max="1" width="9.140625" style="43"/>
    <col min="2" max="2" width="15" style="43" customWidth="1"/>
    <col min="3" max="3" width="13.85546875" style="43" customWidth="1"/>
    <col min="4" max="4" width="18.85546875" style="43" bestFit="1" customWidth="1"/>
    <col min="5" max="5" width="17.5703125" style="43" bestFit="1" customWidth="1"/>
    <col min="6" max="6" width="45.5703125" style="43" bestFit="1" customWidth="1"/>
    <col min="7" max="7" width="16.7109375" style="43" customWidth="1"/>
    <col min="8" max="8" width="24.85546875" style="43" customWidth="1"/>
    <col min="9" max="9" width="22.85546875" style="43" customWidth="1"/>
    <col min="10" max="10" width="14.42578125" style="43" customWidth="1"/>
    <col min="11" max="12" width="19.85546875" style="43" customWidth="1"/>
    <col min="13" max="16384" width="9.140625" style="43"/>
  </cols>
  <sheetData>
    <row r="1" spans="1:11" ht="22.5" customHeight="1" x14ac:dyDescent="0.25">
      <c r="B1" s="44"/>
      <c r="C1" s="44" t="s">
        <v>106</v>
      </c>
    </row>
    <row r="2" spans="1:11" ht="22.5" customHeight="1" x14ac:dyDescent="0.25">
      <c r="B2" s="44"/>
      <c r="C2" s="44" t="s">
        <v>107</v>
      </c>
    </row>
    <row r="3" spans="1:11" ht="23.1" customHeight="1" x14ac:dyDescent="0.25">
      <c r="B3" s="44"/>
      <c r="C3" s="44" t="s">
        <v>108</v>
      </c>
    </row>
    <row r="4" spans="1:11" ht="28.5" customHeight="1" x14ac:dyDescent="0.2"/>
    <row r="5" spans="1:11" ht="41.25" customHeight="1" x14ac:dyDescent="0.2"/>
    <row r="6" spans="1:11" x14ac:dyDescent="0.2">
      <c r="C6" s="142" t="s">
        <v>109</v>
      </c>
      <c r="D6" s="142"/>
      <c r="E6" s="142"/>
      <c r="F6" s="142"/>
      <c r="G6" s="142"/>
      <c r="H6" s="142"/>
      <c r="I6" s="142"/>
      <c r="J6" s="142"/>
      <c r="K6" s="142"/>
    </row>
    <row r="7" spans="1:11" x14ac:dyDescent="0.2">
      <c r="C7" s="142"/>
      <c r="D7" s="142"/>
      <c r="E7" s="142"/>
      <c r="F7" s="142"/>
      <c r="G7" s="142"/>
      <c r="H7" s="142"/>
      <c r="I7" s="142"/>
      <c r="J7" s="142"/>
      <c r="K7" s="142"/>
    </row>
    <row r="8" spans="1:11" ht="28.5" customHeight="1" x14ac:dyDescent="0.2">
      <c r="C8" s="142"/>
      <c r="D8" s="142"/>
      <c r="E8" s="142"/>
      <c r="F8" s="142"/>
      <c r="G8" s="142"/>
      <c r="H8" s="142"/>
      <c r="I8" s="142"/>
      <c r="J8" s="142"/>
      <c r="K8" s="142"/>
    </row>
    <row r="9" spans="1:11" ht="44.25" customHeight="1" x14ac:dyDescent="0.4">
      <c r="C9" s="143" t="s">
        <v>110</v>
      </c>
      <c r="D9" s="143"/>
      <c r="E9" s="143"/>
      <c r="F9" s="143"/>
      <c r="G9" s="143"/>
      <c r="H9" s="143"/>
      <c r="I9" s="143"/>
      <c r="J9" s="143"/>
      <c r="K9" s="143"/>
    </row>
    <row r="10" spans="1:11" ht="15.75" x14ac:dyDescent="0.25">
      <c r="A10" s="45" t="s">
        <v>1237</v>
      </c>
      <c r="B10" s="45" t="s">
        <v>1253</v>
      </c>
      <c r="C10" s="46" t="s">
        <v>1254</v>
      </c>
      <c r="D10" s="46" t="s">
        <v>1255</v>
      </c>
      <c r="E10" s="46" t="s">
        <v>1256</v>
      </c>
      <c r="F10" s="46" t="s">
        <v>1257</v>
      </c>
      <c r="G10" s="46" t="s">
        <v>1258</v>
      </c>
      <c r="H10" s="46" t="s">
        <v>1259</v>
      </c>
      <c r="I10" s="46" t="s">
        <v>1260</v>
      </c>
      <c r="J10" s="46" t="s">
        <v>1261</v>
      </c>
      <c r="K10" s="47" t="s">
        <v>1262</v>
      </c>
    </row>
    <row r="11" spans="1:11" x14ac:dyDescent="0.2">
      <c r="A11" s="43">
        <v>5</v>
      </c>
      <c r="B11" s="43" t="s">
        <v>111</v>
      </c>
      <c r="C11" s="43" t="s">
        <v>112</v>
      </c>
      <c r="D11" s="43" t="s">
        <v>113</v>
      </c>
      <c r="E11" s="43" t="s">
        <v>114</v>
      </c>
      <c r="F11" s="43" t="s">
        <v>115</v>
      </c>
      <c r="G11" s="43">
        <v>3.19</v>
      </c>
      <c r="H11" s="43" t="s">
        <v>116</v>
      </c>
      <c r="I11" s="43" t="s">
        <v>117</v>
      </c>
      <c r="K11" s="43" t="s">
        <v>117</v>
      </c>
    </row>
    <row r="12" spans="1:11" x14ac:dyDescent="0.2">
      <c r="A12" s="43">
        <v>91</v>
      </c>
      <c r="B12" s="43" t="s">
        <v>118</v>
      </c>
      <c r="C12" s="43" t="s">
        <v>119</v>
      </c>
      <c r="D12" s="43" t="s">
        <v>120</v>
      </c>
      <c r="E12" s="43" t="s">
        <v>121</v>
      </c>
      <c r="F12" s="43" t="s">
        <v>122</v>
      </c>
      <c r="G12" s="43">
        <v>2.09</v>
      </c>
      <c r="H12" s="43" t="s">
        <v>123</v>
      </c>
      <c r="I12" s="43" t="s">
        <v>124</v>
      </c>
      <c r="J12" s="43" t="s">
        <v>125</v>
      </c>
      <c r="K12" s="43" t="s">
        <v>124</v>
      </c>
    </row>
    <row r="13" spans="1:11" x14ac:dyDescent="0.2">
      <c r="A13" s="43">
        <v>184</v>
      </c>
      <c r="B13" s="43" t="s">
        <v>126</v>
      </c>
      <c r="C13" s="43" t="s">
        <v>127</v>
      </c>
      <c r="D13" s="43" t="s">
        <v>128</v>
      </c>
      <c r="E13" s="43" t="s">
        <v>129</v>
      </c>
      <c r="F13" s="43" t="s">
        <v>130</v>
      </c>
      <c r="G13" s="43">
        <v>3.64</v>
      </c>
      <c r="H13" s="43" t="s">
        <v>131</v>
      </c>
      <c r="I13" s="43" t="s">
        <v>117</v>
      </c>
      <c r="K13" s="43" t="s">
        <v>124</v>
      </c>
    </row>
    <row r="14" spans="1:11" x14ac:dyDescent="0.2">
      <c r="A14" s="43">
        <v>318</v>
      </c>
      <c r="B14" s="43" t="s">
        <v>132</v>
      </c>
      <c r="C14" s="43" t="s">
        <v>133</v>
      </c>
      <c r="D14" s="43" t="s">
        <v>134</v>
      </c>
      <c r="E14" s="43" t="s">
        <v>135</v>
      </c>
      <c r="F14" s="43" t="s">
        <v>136</v>
      </c>
      <c r="G14" s="43">
        <v>3.39</v>
      </c>
      <c r="H14" s="43" t="s">
        <v>131</v>
      </c>
      <c r="I14" s="43" t="s">
        <v>117</v>
      </c>
      <c r="K14" s="43" t="s">
        <v>124</v>
      </c>
    </row>
    <row r="15" spans="1:11" x14ac:dyDescent="0.2">
      <c r="A15" s="43">
        <v>434</v>
      </c>
      <c r="B15" s="43" t="s">
        <v>137</v>
      </c>
      <c r="C15" s="43" t="s">
        <v>138</v>
      </c>
      <c r="D15" s="43" t="s">
        <v>139</v>
      </c>
      <c r="E15" s="43" t="s">
        <v>140</v>
      </c>
      <c r="F15" s="43" t="s">
        <v>141</v>
      </c>
      <c r="G15" s="43">
        <v>3.75</v>
      </c>
      <c r="H15" s="43" t="s">
        <v>131</v>
      </c>
      <c r="I15" s="43" t="s">
        <v>117</v>
      </c>
      <c r="K15" s="43" t="s">
        <v>117</v>
      </c>
    </row>
    <row r="16" spans="1:11" x14ac:dyDescent="0.2">
      <c r="A16" s="43">
        <v>437</v>
      </c>
      <c r="B16" s="43" t="s">
        <v>142</v>
      </c>
      <c r="C16" s="43" t="s">
        <v>143</v>
      </c>
      <c r="D16" s="43" t="s">
        <v>144</v>
      </c>
      <c r="E16" s="43" t="s">
        <v>145</v>
      </c>
      <c r="F16" s="43" t="s">
        <v>146</v>
      </c>
      <c r="G16" s="43">
        <v>2.48</v>
      </c>
      <c r="H16" s="43" t="s">
        <v>123</v>
      </c>
      <c r="I16" s="43" t="s">
        <v>117</v>
      </c>
      <c r="K16" s="43" t="s">
        <v>117</v>
      </c>
    </row>
    <row r="17" spans="1:11" x14ac:dyDescent="0.2">
      <c r="A17" s="43">
        <v>443</v>
      </c>
      <c r="B17" s="43" t="s">
        <v>147</v>
      </c>
      <c r="C17" s="43" t="s">
        <v>148</v>
      </c>
      <c r="D17" s="43" t="s">
        <v>149</v>
      </c>
      <c r="E17" s="43" t="s">
        <v>150</v>
      </c>
      <c r="F17" s="43" t="s">
        <v>151</v>
      </c>
      <c r="G17" s="43">
        <v>3.23</v>
      </c>
      <c r="H17" s="43" t="s">
        <v>131</v>
      </c>
      <c r="I17" s="43" t="s">
        <v>117</v>
      </c>
      <c r="K17" s="43" t="s">
        <v>124</v>
      </c>
    </row>
    <row r="18" spans="1:11" x14ac:dyDescent="0.2">
      <c r="A18" s="43">
        <v>447</v>
      </c>
      <c r="B18" s="43" t="s">
        <v>152</v>
      </c>
      <c r="C18" s="43" t="s">
        <v>153</v>
      </c>
      <c r="D18" s="43" t="s">
        <v>144</v>
      </c>
      <c r="E18" s="43" t="s">
        <v>154</v>
      </c>
      <c r="F18" s="43" t="s">
        <v>155</v>
      </c>
      <c r="G18" s="43">
        <v>2.4700000000000002</v>
      </c>
      <c r="H18" s="43" t="s">
        <v>156</v>
      </c>
      <c r="I18" s="43" t="s">
        <v>117</v>
      </c>
      <c r="K18" s="43" t="s">
        <v>117</v>
      </c>
    </row>
    <row r="19" spans="1:11" x14ac:dyDescent="0.2">
      <c r="A19" s="43">
        <v>453</v>
      </c>
      <c r="B19" s="43" t="s">
        <v>157</v>
      </c>
      <c r="C19" s="43" t="s">
        <v>158</v>
      </c>
      <c r="D19" s="43" t="s">
        <v>159</v>
      </c>
      <c r="E19" s="43" t="s">
        <v>160</v>
      </c>
      <c r="F19" s="43" t="s">
        <v>161</v>
      </c>
      <c r="G19" s="43">
        <v>3.08</v>
      </c>
      <c r="H19" s="43" t="s">
        <v>156</v>
      </c>
      <c r="I19" s="43" t="s">
        <v>117</v>
      </c>
      <c r="K19" s="43" t="s">
        <v>117</v>
      </c>
    </row>
    <row r="20" spans="1:11" x14ac:dyDescent="0.2">
      <c r="A20" s="43">
        <v>471</v>
      </c>
      <c r="B20" s="43" t="s">
        <v>162</v>
      </c>
      <c r="C20" s="43" t="s">
        <v>163</v>
      </c>
      <c r="D20" s="43" t="s">
        <v>134</v>
      </c>
      <c r="E20" s="43" t="s">
        <v>164</v>
      </c>
      <c r="F20" s="43" t="s">
        <v>165</v>
      </c>
      <c r="G20" s="43">
        <v>3.44</v>
      </c>
      <c r="H20" s="43" t="s">
        <v>156</v>
      </c>
      <c r="I20" s="43" t="s">
        <v>124</v>
      </c>
      <c r="J20" s="43" t="s">
        <v>166</v>
      </c>
      <c r="K20" s="43" t="s">
        <v>124</v>
      </c>
    </row>
    <row r="21" spans="1:11" x14ac:dyDescent="0.2">
      <c r="A21" s="43">
        <v>500</v>
      </c>
      <c r="B21" s="43" t="s">
        <v>167</v>
      </c>
      <c r="C21" s="43" t="s">
        <v>168</v>
      </c>
      <c r="D21" s="43" t="s">
        <v>169</v>
      </c>
      <c r="E21" s="43" t="s">
        <v>170</v>
      </c>
      <c r="F21" s="43" t="s">
        <v>171</v>
      </c>
      <c r="G21" s="43">
        <v>3.03</v>
      </c>
      <c r="H21" s="43" t="s">
        <v>123</v>
      </c>
      <c r="I21" s="43" t="s">
        <v>117</v>
      </c>
      <c r="K21" s="43" t="s">
        <v>117</v>
      </c>
    </row>
    <row r="22" spans="1:11" x14ac:dyDescent="0.2">
      <c r="A22" s="43">
        <v>506</v>
      </c>
      <c r="B22" s="43" t="s">
        <v>172</v>
      </c>
      <c r="C22" s="43" t="s">
        <v>173</v>
      </c>
      <c r="D22" s="43" t="s">
        <v>113</v>
      </c>
      <c r="E22" s="43" t="s">
        <v>174</v>
      </c>
      <c r="F22" s="43" t="s">
        <v>175</v>
      </c>
      <c r="G22" s="43">
        <v>3.61</v>
      </c>
      <c r="H22" s="43" t="s">
        <v>116</v>
      </c>
      <c r="I22" s="43" t="s">
        <v>117</v>
      </c>
      <c r="K22" s="43" t="s">
        <v>117</v>
      </c>
    </row>
    <row r="23" spans="1:11" x14ac:dyDescent="0.2">
      <c r="A23" s="43">
        <v>549</v>
      </c>
      <c r="B23" s="43" t="s">
        <v>176</v>
      </c>
      <c r="C23" s="43" t="s">
        <v>177</v>
      </c>
      <c r="D23" s="43" t="s">
        <v>178</v>
      </c>
      <c r="E23" s="43" t="s">
        <v>179</v>
      </c>
      <c r="F23" s="43" t="s">
        <v>180</v>
      </c>
      <c r="G23" s="43">
        <v>2.5299999999999998</v>
      </c>
      <c r="H23" s="43" t="s">
        <v>131</v>
      </c>
      <c r="I23" s="43" t="s">
        <v>124</v>
      </c>
      <c r="J23" s="43" t="s">
        <v>125</v>
      </c>
      <c r="K23" s="43" t="s">
        <v>124</v>
      </c>
    </row>
    <row r="24" spans="1:11" x14ac:dyDescent="0.2">
      <c r="A24" s="43">
        <v>561</v>
      </c>
      <c r="B24" s="43" t="s">
        <v>181</v>
      </c>
      <c r="C24" s="43" t="s">
        <v>182</v>
      </c>
      <c r="D24" s="43" t="s">
        <v>183</v>
      </c>
      <c r="E24" s="43" t="s">
        <v>184</v>
      </c>
      <c r="F24" s="43" t="s">
        <v>185</v>
      </c>
      <c r="G24" s="43">
        <v>2.76</v>
      </c>
      <c r="H24" s="43" t="s">
        <v>131</v>
      </c>
      <c r="I24" s="43" t="s">
        <v>117</v>
      </c>
      <c r="K24" s="43" t="s">
        <v>117</v>
      </c>
    </row>
    <row r="25" spans="1:11" x14ac:dyDescent="0.2">
      <c r="A25" s="43">
        <v>594</v>
      </c>
      <c r="B25" s="43" t="s">
        <v>186</v>
      </c>
      <c r="C25" s="43" t="s">
        <v>187</v>
      </c>
      <c r="D25" s="43" t="s">
        <v>188</v>
      </c>
      <c r="E25" s="43" t="s">
        <v>189</v>
      </c>
      <c r="F25" s="43" t="s">
        <v>190</v>
      </c>
      <c r="G25" s="43">
        <v>3.23</v>
      </c>
      <c r="H25" s="43" t="s">
        <v>131</v>
      </c>
      <c r="I25" s="43" t="s">
        <v>124</v>
      </c>
      <c r="J25" s="43" t="s">
        <v>191</v>
      </c>
      <c r="K25" s="43" t="s">
        <v>117</v>
      </c>
    </row>
    <row r="26" spans="1:11" x14ac:dyDescent="0.2">
      <c r="A26" s="43">
        <v>627</v>
      </c>
      <c r="B26" s="43" t="s">
        <v>192</v>
      </c>
      <c r="C26" s="43" t="s">
        <v>193</v>
      </c>
      <c r="D26" s="43" t="s">
        <v>194</v>
      </c>
      <c r="E26" s="43" t="s">
        <v>195</v>
      </c>
      <c r="F26" s="43" t="s">
        <v>196</v>
      </c>
      <c r="G26" s="43">
        <v>3.7</v>
      </c>
      <c r="H26" s="43" t="s">
        <v>116</v>
      </c>
      <c r="I26" s="43" t="s">
        <v>117</v>
      </c>
      <c r="K26" s="43" t="s">
        <v>124</v>
      </c>
    </row>
    <row r="27" spans="1:11" x14ac:dyDescent="0.2">
      <c r="A27" s="43">
        <v>689</v>
      </c>
      <c r="B27" s="43" t="s">
        <v>197</v>
      </c>
      <c r="C27" s="43" t="s">
        <v>198</v>
      </c>
      <c r="D27" s="43" t="s">
        <v>199</v>
      </c>
      <c r="E27" s="43" t="s">
        <v>200</v>
      </c>
      <c r="F27" s="43" t="s">
        <v>201</v>
      </c>
      <c r="G27" s="43">
        <v>3.52</v>
      </c>
      <c r="H27" s="43" t="s">
        <v>116</v>
      </c>
      <c r="I27" s="43" t="s">
        <v>117</v>
      </c>
      <c r="K27" s="43" t="s">
        <v>124</v>
      </c>
    </row>
    <row r="28" spans="1:11" x14ac:dyDescent="0.2">
      <c r="A28" s="43">
        <v>776</v>
      </c>
      <c r="B28" s="43" t="s">
        <v>202</v>
      </c>
      <c r="C28" s="43" t="s">
        <v>203</v>
      </c>
      <c r="D28" s="43" t="s">
        <v>183</v>
      </c>
      <c r="E28" s="43" t="s">
        <v>204</v>
      </c>
      <c r="F28" s="43" t="s">
        <v>205</v>
      </c>
      <c r="G28" s="43">
        <v>3.98</v>
      </c>
      <c r="H28" s="43" t="s">
        <v>131</v>
      </c>
      <c r="I28" s="43" t="s">
        <v>117</v>
      </c>
      <c r="K28" s="43" t="s">
        <v>124</v>
      </c>
    </row>
    <row r="29" spans="1:11" x14ac:dyDescent="0.2">
      <c r="A29" s="43">
        <v>803</v>
      </c>
      <c r="B29" s="43" t="s">
        <v>206</v>
      </c>
      <c r="C29" s="43" t="s">
        <v>207</v>
      </c>
      <c r="D29" s="43" t="s">
        <v>208</v>
      </c>
      <c r="E29" s="43" t="s">
        <v>209</v>
      </c>
      <c r="F29" s="43" t="s">
        <v>210</v>
      </c>
      <c r="G29" s="43">
        <v>3.2</v>
      </c>
      <c r="H29" s="43" t="s">
        <v>131</v>
      </c>
      <c r="I29" s="43" t="s">
        <v>117</v>
      </c>
      <c r="K29" s="43" t="s">
        <v>124</v>
      </c>
    </row>
    <row r="30" spans="1:11" x14ac:dyDescent="0.2">
      <c r="A30" s="43">
        <v>826</v>
      </c>
      <c r="B30" s="43" t="s">
        <v>211</v>
      </c>
      <c r="C30" s="43" t="s">
        <v>212</v>
      </c>
      <c r="D30" s="43" t="s">
        <v>213</v>
      </c>
      <c r="E30" s="43" t="s">
        <v>214</v>
      </c>
      <c r="F30" s="43" t="s">
        <v>215</v>
      </c>
      <c r="G30" s="43">
        <v>2.0699999999999998</v>
      </c>
      <c r="H30" s="43" t="s">
        <v>123</v>
      </c>
      <c r="I30" s="43" t="s">
        <v>117</v>
      </c>
      <c r="K30" s="43" t="s">
        <v>117</v>
      </c>
    </row>
    <row r="31" spans="1:11" x14ac:dyDescent="0.2">
      <c r="A31" s="43">
        <v>998</v>
      </c>
      <c r="B31" s="43" t="s">
        <v>216</v>
      </c>
      <c r="C31" s="43" t="s">
        <v>217</v>
      </c>
      <c r="D31" s="43" t="s">
        <v>208</v>
      </c>
      <c r="E31" s="43" t="s">
        <v>218</v>
      </c>
      <c r="F31" s="43" t="s">
        <v>219</v>
      </c>
      <c r="G31" s="43">
        <v>3.6</v>
      </c>
      <c r="H31" s="43" t="s">
        <v>156</v>
      </c>
      <c r="I31" s="43" t="s">
        <v>117</v>
      </c>
      <c r="K31" s="43" t="s">
        <v>117</v>
      </c>
    </row>
    <row r="32" spans="1:11" x14ac:dyDescent="0.2">
      <c r="A32" s="43">
        <v>1022</v>
      </c>
      <c r="B32" s="43" t="s">
        <v>220</v>
      </c>
      <c r="C32" s="43" t="s">
        <v>221</v>
      </c>
      <c r="D32" s="43" t="s">
        <v>120</v>
      </c>
      <c r="E32" s="43" t="s">
        <v>222</v>
      </c>
      <c r="F32" s="43" t="s">
        <v>223</v>
      </c>
      <c r="G32" s="43">
        <v>2.34</v>
      </c>
      <c r="H32" s="43" t="s">
        <v>123</v>
      </c>
      <c r="I32" s="43" t="s">
        <v>117</v>
      </c>
      <c r="K32" s="43" t="s">
        <v>117</v>
      </c>
    </row>
    <row r="33" spans="1:11" x14ac:dyDescent="0.2">
      <c r="A33" s="43">
        <v>1034</v>
      </c>
      <c r="B33" s="43" t="s">
        <v>224</v>
      </c>
      <c r="C33" s="43" t="s">
        <v>225</v>
      </c>
      <c r="D33" s="43" t="s">
        <v>208</v>
      </c>
      <c r="E33" s="43" t="s">
        <v>226</v>
      </c>
      <c r="F33" s="43" t="s">
        <v>227</v>
      </c>
      <c r="G33" s="43">
        <v>2.6</v>
      </c>
      <c r="H33" s="43" t="s">
        <v>123</v>
      </c>
      <c r="I33" s="43" t="s">
        <v>117</v>
      </c>
      <c r="K33" s="43" t="s">
        <v>124</v>
      </c>
    </row>
    <row r="34" spans="1:11" x14ac:dyDescent="0.2">
      <c r="A34" s="43">
        <v>1074</v>
      </c>
      <c r="B34" s="43" t="s">
        <v>228</v>
      </c>
      <c r="C34" s="43" t="s">
        <v>229</v>
      </c>
      <c r="D34" s="43" t="s">
        <v>230</v>
      </c>
      <c r="E34" s="43" t="s">
        <v>231</v>
      </c>
      <c r="F34" s="43" t="s">
        <v>232</v>
      </c>
      <c r="G34" s="43">
        <v>2.21</v>
      </c>
      <c r="H34" s="43" t="s">
        <v>131</v>
      </c>
      <c r="I34" s="43" t="s">
        <v>117</v>
      </c>
      <c r="K34" s="43" t="s">
        <v>124</v>
      </c>
    </row>
    <row r="35" spans="1:11" x14ac:dyDescent="0.2">
      <c r="A35" s="43">
        <v>1104</v>
      </c>
      <c r="B35" s="43" t="s">
        <v>233</v>
      </c>
      <c r="C35" s="43" t="s">
        <v>234</v>
      </c>
      <c r="D35" s="43" t="s">
        <v>235</v>
      </c>
      <c r="E35" s="43" t="s">
        <v>236</v>
      </c>
      <c r="F35" s="43" t="s">
        <v>237</v>
      </c>
      <c r="G35" s="43">
        <v>3.53</v>
      </c>
      <c r="H35" s="43" t="s">
        <v>123</v>
      </c>
      <c r="I35" s="43" t="s">
        <v>117</v>
      </c>
      <c r="K35" s="43" t="s">
        <v>117</v>
      </c>
    </row>
    <row r="36" spans="1:11" x14ac:dyDescent="0.2">
      <c r="A36" s="43">
        <v>1159</v>
      </c>
      <c r="B36" s="43" t="s">
        <v>238</v>
      </c>
      <c r="C36" s="43" t="s">
        <v>239</v>
      </c>
      <c r="D36" s="43" t="s">
        <v>134</v>
      </c>
      <c r="E36" s="43" t="s">
        <v>240</v>
      </c>
      <c r="F36" s="43" t="s">
        <v>241</v>
      </c>
      <c r="G36" s="43">
        <v>2.6</v>
      </c>
      <c r="H36" s="43" t="s">
        <v>116</v>
      </c>
      <c r="I36" s="43" t="s">
        <v>117</v>
      </c>
      <c r="K36" s="43" t="s">
        <v>117</v>
      </c>
    </row>
    <row r="37" spans="1:11" x14ac:dyDescent="0.2">
      <c r="A37" s="43">
        <v>1184</v>
      </c>
      <c r="B37" s="43" t="s">
        <v>242</v>
      </c>
      <c r="C37" s="43" t="s">
        <v>243</v>
      </c>
      <c r="D37" s="43" t="s">
        <v>208</v>
      </c>
      <c r="E37" s="43" t="s">
        <v>244</v>
      </c>
      <c r="F37" s="43" t="s">
        <v>245</v>
      </c>
      <c r="G37" s="43">
        <v>3.72</v>
      </c>
      <c r="H37" s="43" t="s">
        <v>131</v>
      </c>
      <c r="I37" s="43" t="s">
        <v>117</v>
      </c>
      <c r="K37" s="43" t="s">
        <v>124</v>
      </c>
    </row>
    <row r="38" spans="1:11" x14ac:dyDescent="0.2">
      <c r="A38" s="43">
        <v>1261</v>
      </c>
      <c r="B38" s="43" t="s">
        <v>246</v>
      </c>
      <c r="C38" s="43" t="s">
        <v>247</v>
      </c>
      <c r="D38" s="43" t="s">
        <v>248</v>
      </c>
      <c r="E38" s="43" t="s">
        <v>249</v>
      </c>
      <c r="F38" s="43" t="s">
        <v>250</v>
      </c>
      <c r="G38" s="43">
        <v>2.2400000000000002</v>
      </c>
      <c r="H38" s="43" t="s">
        <v>131</v>
      </c>
      <c r="I38" s="43" t="s">
        <v>124</v>
      </c>
      <c r="J38" s="43" t="s">
        <v>251</v>
      </c>
      <c r="K38" s="43" t="s">
        <v>124</v>
      </c>
    </row>
    <row r="39" spans="1:11" x14ac:dyDescent="0.2">
      <c r="A39" s="43">
        <v>1298</v>
      </c>
      <c r="B39" s="43" t="s">
        <v>252</v>
      </c>
      <c r="C39" s="43" t="s">
        <v>253</v>
      </c>
      <c r="D39" s="43" t="s">
        <v>254</v>
      </c>
      <c r="E39" s="43" t="s">
        <v>255</v>
      </c>
      <c r="F39" s="43" t="s">
        <v>256</v>
      </c>
      <c r="G39" s="43">
        <v>3.95</v>
      </c>
      <c r="H39" s="43" t="s">
        <v>156</v>
      </c>
      <c r="I39" s="43" t="s">
        <v>117</v>
      </c>
      <c r="K39" s="43" t="s">
        <v>117</v>
      </c>
    </row>
    <row r="40" spans="1:11" x14ac:dyDescent="0.2">
      <c r="A40" s="43">
        <v>1375</v>
      </c>
      <c r="B40" s="43" t="s">
        <v>257</v>
      </c>
      <c r="C40" s="43" t="s">
        <v>258</v>
      </c>
      <c r="D40" s="43" t="s">
        <v>208</v>
      </c>
      <c r="E40" s="43" t="s">
        <v>259</v>
      </c>
      <c r="F40" s="43" t="s">
        <v>260</v>
      </c>
      <c r="G40" s="43">
        <v>3.9</v>
      </c>
      <c r="H40" s="43" t="s">
        <v>123</v>
      </c>
      <c r="I40" s="43" t="s">
        <v>117</v>
      </c>
      <c r="K40" s="43" t="s">
        <v>124</v>
      </c>
    </row>
    <row r="41" spans="1:11" x14ac:dyDescent="0.2">
      <c r="A41" s="43">
        <v>1406</v>
      </c>
      <c r="B41" s="43" t="s">
        <v>261</v>
      </c>
      <c r="C41" s="43" t="s">
        <v>262</v>
      </c>
      <c r="D41" s="43" t="s">
        <v>235</v>
      </c>
      <c r="E41" s="43" t="s">
        <v>263</v>
      </c>
      <c r="F41" s="43" t="s">
        <v>264</v>
      </c>
      <c r="G41" s="43">
        <v>2.41</v>
      </c>
      <c r="H41" s="43" t="s">
        <v>123</v>
      </c>
      <c r="I41" s="43" t="s">
        <v>117</v>
      </c>
      <c r="K41" s="43" t="s">
        <v>117</v>
      </c>
    </row>
    <row r="42" spans="1:11" x14ac:dyDescent="0.2">
      <c r="A42" s="43">
        <v>1669</v>
      </c>
      <c r="B42" s="43" t="s">
        <v>265</v>
      </c>
      <c r="C42" s="43" t="s">
        <v>266</v>
      </c>
      <c r="D42" s="43" t="s">
        <v>267</v>
      </c>
      <c r="E42" s="43" t="s">
        <v>268</v>
      </c>
      <c r="F42" s="43" t="s">
        <v>269</v>
      </c>
      <c r="G42" s="43">
        <v>3.28</v>
      </c>
      <c r="H42" s="43" t="s">
        <v>131</v>
      </c>
      <c r="I42" s="43" t="s">
        <v>124</v>
      </c>
      <c r="J42" s="43" t="s">
        <v>270</v>
      </c>
      <c r="K42" s="43" t="s">
        <v>117</v>
      </c>
    </row>
    <row r="43" spans="1:11" x14ac:dyDescent="0.2">
      <c r="A43" s="43">
        <v>1672</v>
      </c>
      <c r="B43" s="43" t="s">
        <v>271</v>
      </c>
      <c r="C43" s="43" t="s">
        <v>272</v>
      </c>
      <c r="D43" s="43" t="s">
        <v>169</v>
      </c>
      <c r="E43" s="43" t="s">
        <v>273</v>
      </c>
      <c r="F43" s="43" t="s">
        <v>274</v>
      </c>
      <c r="G43" s="43">
        <v>3.32</v>
      </c>
      <c r="H43" s="43" t="s">
        <v>116</v>
      </c>
      <c r="I43" s="43" t="s">
        <v>117</v>
      </c>
      <c r="K43" s="43" t="s">
        <v>124</v>
      </c>
    </row>
    <row r="44" spans="1:11" x14ac:dyDescent="0.2">
      <c r="A44" s="43">
        <v>1687</v>
      </c>
      <c r="B44" s="43" t="s">
        <v>275</v>
      </c>
      <c r="C44" s="43" t="s">
        <v>276</v>
      </c>
      <c r="D44" s="43" t="s">
        <v>277</v>
      </c>
      <c r="E44" s="43" t="s">
        <v>278</v>
      </c>
      <c r="F44" s="43" t="s">
        <v>279</v>
      </c>
      <c r="G44" s="43">
        <v>3.33</v>
      </c>
      <c r="H44" s="43" t="s">
        <v>156</v>
      </c>
      <c r="I44" s="43" t="s">
        <v>117</v>
      </c>
      <c r="K44" s="43" t="s">
        <v>124</v>
      </c>
    </row>
    <row r="45" spans="1:11" x14ac:dyDescent="0.2">
      <c r="A45" s="43">
        <v>1735</v>
      </c>
      <c r="B45" s="43" t="s">
        <v>280</v>
      </c>
      <c r="C45" s="43" t="s">
        <v>281</v>
      </c>
      <c r="D45" s="43" t="s">
        <v>230</v>
      </c>
      <c r="E45" s="43" t="s">
        <v>282</v>
      </c>
      <c r="F45" s="43" t="s">
        <v>283</v>
      </c>
      <c r="G45" s="43">
        <v>3.61</v>
      </c>
      <c r="H45" s="43" t="s">
        <v>131</v>
      </c>
      <c r="I45" s="43" t="s">
        <v>117</v>
      </c>
      <c r="K45" s="43" t="s">
        <v>117</v>
      </c>
    </row>
    <row r="46" spans="1:11" x14ac:dyDescent="0.2">
      <c r="A46" s="43">
        <v>1858</v>
      </c>
      <c r="B46" s="43" t="s">
        <v>284</v>
      </c>
      <c r="C46" s="43" t="s">
        <v>285</v>
      </c>
      <c r="D46" s="43" t="s">
        <v>267</v>
      </c>
      <c r="E46" s="43" t="s">
        <v>286</v>
      </c>
      <c r="F46" s="43" t="s">
        <v>287</v>
      </c>
      <c r="G46" s="43">
        <v>2.5099999999999998</v>
      </c>
      <c r="H46" s="43" t="s">
        <v>156</v>
      </c>
      <c r="I46" s="43" t="s">
        <v>117</v>
      </c>
      <c r="K46" s="43" t="s">
        <v>124</v>
      </c>
    </row>
    <row r="47" spans="1:11" x14ac:dyDescent="0.2">
      <c r="A47" s="43">
        <v>1909</v>
      </c>
      <c r="B47" s="43" t="s">
        <v>288</v>
      </c>
      <c r="C47" s="43" t="s">
        <v>289</v>
      </c>
      <c r="D47" s="43" t="s">
        <v>144</v>
      </c>
      <c r="E47" s="43" t="s">
        <v>290</v>
      </c>
      <c r="F47" s="43" t="s">
        <v>291</v>
      </c>
      <c r="G47" s="43">
        <v>2.4300000000000002</v>
      </c>
      <c r="H47" s="43" t="s">
        <v>131</v>
      </c>
      <c r="I47" s="43" t="s">
        <v>117</v>
      </c>
      <c r="K47" s="43" t="s">
        <v>117</v>
      </c>
    </row>
    <row r="48" spans="1:11" x14ac:dyDescent="0.2">
      <c r="A48" s="43">
        <v>1912</v>
      </c>
      <c r="B48" s="43" t="s">
        <v>292</v>
      </c>
      <c r="C48" s="43" t="s">
        <v>293</v>
      </c>
      <c r="D48" s="43" t="s">
        <v>208</v>
      </c>
      <c r="E48" s="43" t="s">
        <v>294</v>
      </c>
      <c r="F48" s="43" t="s">
        <v>295</v>
      </c>
      <c r="G48" s="43">
        <v>2.98</v>
      </c>
      <c r="H48" s="43" t="s">
        <v>131</v>
      </c>
      <c r="I48" s="43" t="s">
        <v>124</v>
      </c>
      <c r="J48" s="43" t="s">
        <v>296</v>
      </c>
      <c r="K48" s="43" t="s">
        <v>117</v>
      </c>
    </row>
    <row r="49" spans="1:11" x14ac:dyDescent="0.2">
      <c r="A49" s="43">
        <v>1967</v>
      </c>
      <c r="B49" s="43" t="s">
        <v>297</v>
      </c>
      <c r="C49" s="43" t="s">
        <v>298</v>
      </c>
      <c r="D49" s="43" t="s">
        <v>169</v>
      </c>
      <c r="E49" s="43" t="s">
        <v>299</v>
      </c>
      <c r="F49" s="43" t="s">
        <v>300</v>
      </c>
      <c r="G49" s="43">
        <v>3.24</v>
      </c>
      <c r="H49" s="43" t="s">
        <v>116</v>
      </c>
      <c r="I49" s="43" t="s">
        <v>117</v>
      </c>
      <c r="K49" s="43" t="s">
        <v>124</v>
      </c>
    </row>
    <row r="50" spans="1:11" x14ac:dyDescent="0.2">
      <c r="A50" s="43">
        <v>1996</v>
      </c>
      <c r="B50" s="43" t="s">
        <v>301</v>
      </c>
      <c r="C50" s="43" t="s">
        <v>302</v>
      </c>
      <c r="D50" s="43" t="s">
        <v>303</v>
      </c>
      <c r="E50" s="43" t="s">
        <v>304</v>
      </c>
      <c r="F50" s="43" t="s">
        <v>305</v>
      </c>
      <c r="G50" s="43">
        <v>3.08</v>
      </c>
      <c r="H50" s="43" t="s">
        <v>116</v>
      </c>
      <c r="I50" s="43" t="s">
        <v>117</v>
      </c>
      <c r="K50" s="43" t="s">
        <v>117</v>
      </c>
    </row>
    <row r="51" spans="1:11" x14ac:dyDescent="0.2">
      <c r="A51" s="43">
        <v>2001</v>
      </c>
      <c r="B51" s="43" t="s">
        <v>306</v>
      </c>
      <c r="C51" s="43" t="s">
        <v>307</v>
      </c>
      <c r="D51" s="43" t="s">
        <v>139</v>
      </c>
      <c r="E51" s="43" t="s">
        <v>308</v>
      </c>
      <c r="F51" s="43" t="s">
        <v>309</v>
      </c>
      <c r="G51" s="43">
        <v>2.12</v>
      </c>
      <c r="H51" s="43" t="s">
        <v>131</v>
      </c>
      <c r="I51" s="43" t="s">
        <v>117</v>
      </c>
      <c r="K51" s="43" t="s">
        <v>117</v>
      </c>
    </row>
    <row r="52" spans="1:11" x14ac:dyDescent="0.2">
      <c r="A52" s="43">
        <v>2108</v>
      </c>
      <c r="B52" s="43" t="s">
        <v>310</v>
      </c>
      <c r="C52" s="43" t="s">
        <v>311</v>
      </c>
      <c r="D52" s="43" t="s">
        <v>267</v>
      </c>
      <c r="E52" s="43" t="s">
        <v>312</v>
      </c>
      <c r="F52" s="43" t="s">
        <v>313</v>
      </c>
      <c r="G52" s="43">
        <v>3.97</v>
      </c>
      <c r="H52" s="43" t="s">
        <v>131</v>
      </c>
      <c r="I52" s="43" t="s">
        <v>117</v>
      </c>
      <c r="K52" s="43" t="s">
        <v>117</v>
      </c>
    </row>
    <row r="53" spans="1:11" x14ac:dyDescent="0.2">
      <c r="A53" s="43">
        <v>2139</v>
      </c>
      <c r="B53" s="43" t="s">
        <v>314</v>
      </c>
      <c r="C53" s="43" t="s">
        <v>315</v>
      </c>
      <c r="D53" s="43" t="s">
        <v>144</v>
      </c>
      <c r="E53" s="43" t="s">
        <v>316</v>
      </c>
      <c r="F53" s="43" t="s">
        <v>317</v>
      </c>
      <c r="G53" s="43">
        <v>3.62</v>
      </c>
      <c r="H53" s="43" t="s">
        <v>123</v>
      </c>
      <c r="I53" s="43" t="s">
        <v>124</v>
      </c>
      <c r="J53" s="43" t="s">
        <v>318</v>
      </c>
      <c r="K53" s="43" t="s">
        <v>124</v>
      </c>
    </row>
    <row r="54" spans="1:11" x14ac:dyDescent="0.2">
      <c r="A54" s="43">
        <v>2158</v>
      </c>
      <c r="B54" s="43" t="s">
        <v>319</v>
      </c>
      <c r="C54" s="43" t="s">
        <v>320</v>
      </c>
      <c r="D54" s="43" t="s">
        <v>254</v>
      </c>
      <c r="E54" s="43" t="s">
        <v>321</v>
      </c>
      <c r="F54" s="43" t="s">
        <v>322</v>
      </c>
      <c r="G54" s="43">
        <v>2.4700000000000002</v>
      </c>
      <c r="H54" s="43" t="s">
        <v>116</v>
      </c>
      <c r="I54" s="43" t="s">
        <v>124</v>
      </c>
      <c r="J54" s="43" t="s">
        <v>323</v>
      </c>
      <c r="K54" s="43" t="s">
        <v>124</v>
      </c>
    </row>
    <row r="55" spans="1:11" x14ac:dyDescent="0.2">
      <c r="A55" s="43">
        <v>2166</v>
      </c>
      <c r="B55" s="43" t="s">
        <v>324</v>
      </c>
      <c r="C55" s="43" t="s">
        <v>325</v>
      </c>
      <c r="D55" s="43" t="s">
        <v>326</v>
      </c>
      <c r="E55" s="43" t="s">
        <v>327</v>
      </c>
      <c r="F55" s="43" t="s">
        <v>328</v>
      </c>
      <c r="G55" s="43">
        <v>2.37</v>
      </c>
      <c r="H55" s="43" t="s">
        <v>123</v>
      </c>
      <c r="I55" s="43" t="s">
        <v>117</v>
      </c>
      <c r="K55" s="43" t="s">
        <v>124</v>
      </c>
    </row>
    <row r="56" spans="1:11" x14ac:dyDescent="0.2">
      <c r="A56" s="43">
        <v>2201</v>
      </c>
      <c r="B56" s="43" t="s">
        <v>329</v>
      </c>
      <c r="C56" s="43" t="s">
        <v>330</v>
      </c>
      <c r="D56" s="43" t="s">
        <v>331</v>
      </c>
      <c r="E56" s="43" t="s">
        <v>332</v>
      </c>
      <c r="F56" s="43" t="s">
        <v>333</v>
      </c>
      <c r="G56" s="43">
        <v>3.59</v>
      </c>
      <c r="H56" s="43" t="s">
        <v>123</v>
      </c>
      <c r="I56" s="43" t="s">
        <v>117</v>
      </c>
      <c r="K56" s="43" t="s">
        <v>124</v>
      </c>
    </row>
    <row r="57" spans="1:11" x14ac:dyDescent="0.2">
      <c r="A57" s="43">
        <v>2335</v>
      </c>
      <c r="B57" s="43" t="s">
        <v>334</v>
      </c>
      <c r="C57" s="43" t="s">
        <v>335</v>
      </c>
      <c r="D57" s="43" t="s">
        <v>235</v>
      </c>
      <c r="E57" s="43" t="s">
        <v>336</v>
      </c>
      <c r="F57" s="43" t="s">
        <v>337</v>
      </c>
      <c r="G57" s="43">
        <v>3.13</v>
      </c>
      <c r="H57" s="43" t="s">
        <v>123</v>
      </c>
      <c r="I57" s="43" t="s">
        <v>117</v>
      </c>
      <c r="K57" s="43" t="s">
        <v>117</v>
      </c>
    </row>
    <row r="58" spans="1:11" x14ac:dyDescent="0.2">
      <c r="A58" s="43">
        <v>2340</v>
      </c>
      <c r="B58" s="43" t="s">
        <v>338</v>
      </c>
      <c r="C58" s="43" t="s">
        <v>339</v>
      </c>
      <c r="D58" s="43" t="s">
        <v>194</v>
      </c>
      <c r="E58" s="43" t="s">
        <v>340</v>
      </c>
      <c r="F58" s="43" t="s">
        <v>341</v>
      </c>
      <c r="G58" s="43">
        <v>2.13</v>
      </c>
      <c r="H58" s="43" t="s">
        <v>123</v>
      </c>
      <c r="I58" s="43" t="s">
        <v>117</v>
      </c>
      <c r="K58" s="43" t="s">
        <v>124</v>
      </c>
    </row>
    <row r="59" spans="1:11" x14ac:dyDescent="0.2">
      <c r="A59" s="43">
        <v>2426</v>
      </c>
      <c r="B59" s="43" t="s">
        <v>238</v>
      </c>
      <c r="C59" s="43" t="s">
        <v>342</v>
      </c>
      <c r="D59" s="43" t="s">
        <v>208</v>
      </c>
      <c r="E59" s="43" t="s">
        <v>343</v>
      </c>
      <c r="F59" s="43" t="s">
        <v>344</v>
      </c>
      <c r="G59" s="43">
        <v>2.73</v>
      </c>
      <c r="H59" s="43" t="s">
        <v>131</v>
      </c>
      <c r="I59" s="43" t="s">
        <v>117</v>
      </c>
      <c r="K59" s="43" t="s">
        <v>117</v>
      </c>
    </row>
    <row r="60" spans="1:11" x14ac:dyDescent="0.2">
      <c r="A60" s="43">
        <v>2478</v>
      </c>
      <c r="B60" s="43" t="s">
        <v>345</v>
      </c>
      <c r="C60" s="43" t="s">
        <v>346</v>
      </c>
      <c r="D60" s="43" t="s">
        <v>178</v>
      </c>
      <c r="E60" s="43" t="s">
        <v>347</v>
      </c>
      <c r="F60" s="43" t="s">
        <v>348</v>
      </c>
      <c r="G60" s="43">
        <v>2.84</v>
      </c>
      <c r="H60" s="43" t="s">
        <v>156</v>
      </c>
      <c r="I60" s="43" t="s">
        <v>117</v>
      </c>
      <c r="K60" s="43" t="s">
        <v>117</v>
      </c>
    </row>
    <row r="61" spans="1:11" x14ac:dyDescent="0.2">
      <c r="A61" s="43">
        <v>2479</v>
      </c>
      <c r="B61" s="43" t="s">
        <v>349</v>
      </c>
      <c r="C61" s="43" t="s">
        <v>350</v>
      </c>
      <c r="D61" s="43" t="s">
        <v>351</v>
      </c>
      <c r="E61" s="43" t="s">
        <v>352</v>
      </c>
      <c r="F61" s="43" t="s">
        <v>353</v>
      </c>
      <c r="G61" s="43">
        <v>3.66</v>
      </c>
      <c r="H61" s="43" t="s">
        <v>116</v>
      </c>
      <c r="I61" s="43" t="s">
        <v>117</v>
      </c>
      <c r="K61" s="43" t="s">
        <v>124</v>
      </c>
    </row>
    <row r="62" spans="1:11" x14ac:dyDescent="0.2">
      <c r="A62" s="43">
        <v>2515</v>
      </c>
      <c r="B62" s="43" t="s">
        <v>354</v>
      </c>
      <c r="C62" s="43" t="s">
        <v>355</v>
      </c>
      <c r="D62" s="43" t="s">
        <v>208</v>
      </c>
      <c r="E62" s="43" t="s">
        <v>356</v>
      </c>
      <c r="F62" s="43" t="s">
        <v>357</v>
      </c>
      <c r="G62" s="43">
        <v>2.98</v>
      </c>
      <c r="H62" s="43" t="s">
        <v>131</v>
      </c>
      <c r="I62" s="43" t="s">
        <v>117</v>
      </c>
      <c r="K62" s="43" t="s">
        <v>117</v>
      </c>
    </row>
    <row r="63" spans="1:11" x14ac:dyDescent="0.2">
      <c r="A63" s="43">
        <v>2545</v>
      </c>
      <c r="B63" s="43" t="s">
        <v>358</v>
      </c>
      <c r="C63" s="43" t="s">
        <v>359</v>
      </c>
      <c r="D63" s="43" t="s">
        <v>183</v>
      </c>
      <c r="E63" s="43" t="s">
        <v>360</v>
      </c>
      <c r="F63" s="43" t="s">
        <v>361</v>
      </c>
      <c r="G63" s="43">
        <v>2.12</v>
      </c>
      <c r="H63" s="43" t="s">
        <v>116</v>
      </c>
      <c r="I63" s="43" t="s">
        <v>117</v>
      </c>
      <c r="K63" s="43" t="s">
        <v>124</v>
      </c>
    </row>
    <row r="64" spans="1:11" x14ac:dyDescent="0.2">
      <c r="A64" s="43">
        <v>2594</v>
      </c>
      <c r="B64" s="43" t="s">
        <v>334</v>
      </c>
      <c r="C64" s="43" t="s">
        <v>362</v>
      </c>
      <c r="D64" s="43" t="s">
        <v>139</v>
      </c>
      <c r="E64" s="43" t="s">
        <v>363</v>
      </c>
      <c r="F64" s="43" t="s">
        <v>364</v>
      </c>
      <c r="G64" s="43">
        <v>3.43</v>
      </c>
      <c r="H64" s="43" t="s">
        <v>116</v>
      </c>
      <c r="I64" s="43" t="s">
        <v>124</v>
      </c>
      <c r="J64" s="43" t="s">
        <v>251</v>
      </c>
      <c r="K64" s="43" t="s">
        <v>117</v>
      </c>
    </row>
    <row r="65" spans="1:11" x14ac:dyDescent="0.2">
      <c r="A65" s="43">
        <v>2648</v>
      </c>
      <c r="B65" s="43" t="s">
        <v>365</v>
      </c>
      <c r="C65" s="43" t="s">
        <v>366</v>
      </c>
      <c r="D65" s="43" t="s">
        <v>367</v>
      </c>
      <c r="E65" s="43" t="s">
        <v>368</v>
      </c>
      <c r="F65" s="43" t="s">
        <v>369</v>
      </c>
      <c r="G65" s="43">
        <v>2.99</v>
      </c>
      <c r="H65" s="43" t="s">
        <v>156</v>
      </c>
      <c r="I65" s="43" t="s">
        <v>124</v>
      </c>
      <c r="J65" s="43" t="s">
        <v>370</v>
      </c>
      <c r="K65" s="43" t="s">
        <v>117</v>
      </c>
    </row>
    <row r="66" spans="1:11" x14ac:dyDescent="0.2">
      <c r="A66" s="43">
        <v>2969</v>
      </c>
      <c r="B66" s="43" t="s">
        <v>371</v>
      </c>
      <c r="C66" s="43" t="s">
        <v>372</v>
      </c>
      <c r="D66" s="43" t="s">
        <v>194</v>
      </c>
      <c r="E66" s="43" t="s">
        <v>373</v>
      </c>
      <c r="F66" s="43" t="s">
        <v>374</v>
      </c>
      <c r="G66" s="43">
        <v>3.45</v>
      </c>
      <c r="H66" s="43" t="s">
        <v>131</v>
      </c>
      <c r="I66" s="43" t="s">
        <v>117</v>
      </c>
      <c r="K66" s="43" t="s">
        <v>124</v>
      </c>
    </row>
    <row r="67" spans="1:11" x14ac:dyDescent="0.2">
      <c r="A67" s="43">
        <v>3055</v>
      </c>
      <c r="B67" s="43" t="s">
        <v>375</v>
      </c>
      <c r="C67" s="43" t="s">
        <v>376</v>
      </c>
      <c r="D67" s="43" t="s">
        <v>377</v>
      </c>
      <c r="E67" s="43" t="s">
        <v>378</v>
      </c>
      <c r="F67" s="43" t="s">
        <v>379</v>
      </c>
      <c r="G67" s="43">
        <v>2.02</v>
      </c>
      <c r="H67" s="43" t="s">
        <v>156</v>
      </c>
      <c r="I67" s="43" t="s">
        <v>117</v>
      </c>
      <c r="K67" s="43" t="s">
        <v>124</v>
      </c>
    </row>
    <row r="68" spans="1:11" x14ac:dyDescent="0.2">
      <c r="A68" s="43">
        <v>3064</v>
      </c>
      <c r="B68" s="43" t="s">
        <v>380</v>
      </c>
      <c r="C68" s="43" t="s">
        <v>381</v>
      </c>
      <c r="D68" s="43" t="s">
        <v>199</v>
      </c>
      <c r="E68" s="43" t="s">
        <v>382</v>
      </c>
      <c r="F68" s="43" t="s">
        <v>383</v>
      </c>
      <c r="G68" s="43">
        <v>2.31</v>
      </c>
      <c r="H68" s="43" t="s">
        <v>131</v>
      </c>
      <c r="I68" s="43" t="s">
        <v>117</v>
      </c>
      <c r="K68" s="43" t="s">
        <v>124</v>
      </c>
    </row>
    <row r="69" spans="1:11" x14ac:dyDescent="0.2">
      <c r="A69" s="43">
        <v>3180</v>
      </c>
      <c r="B69" s="43" t="s">
        <v>384</v>
      </c>
      <c r="C69" s="43" t="s">
        <v>385</v>
      </c>
      <c r="D69" s="43" t="s">
        <v>351</v>
      </c>
      <c r="E69" s="43" t="s">
        <v>386</v>
      </c>
      <c r="F69" s="43" t="s">
        <v>387</v>
      </c>
      <c r="G69" s="43">
        <v>3.67</v>
      </c>
      <c r="H69" s="43" t="s">
        <v>131</v>
      </c>
      <c r="I69" s="43" t="s">
        <v>117</v>
      </c>
      <c r="K69" s="43" t="s">
        <v>117</v>
      </c>
    </row>
    <row r="70" spans="1:11" x14ac:dyDescent="0.2">
      <c r="A70" s="43">
        <v>3187</v>
      </c>
      <c r="B70" s="43" t="s">
        <v>388</v>
      </c>
      <c r="C70" s="43" t="s">
        <v>389</v>
      </c>
      <c r="D70" s="43" t="s">
        <v>390</v>
      </c>
      <c r="E70" s="43" t="s">
        <v>391</v>
      </c>
      <c r="F70" s="43" t="s">
        <v>392</v>
      </c>
      <c r="G70" s="43">
        <v>2.85</v>
      </c>
      <c r="H70" s="43" t="s">
        <v>123</v>
      </c>
      <c r="I70" s="43" t="s">
        <v>117</v>
      </c>
      <c r="K70" s="43" t="s">
        <v>124</v>
      </c>
    </row>
    <row r="71" spans="1:11" x14ac:dyDescent="0.2">
      <c r="A71" s="43">
        <v>3213</v>
      </c>
      <c r="B71" s="43" t="s">
        <v>393</v>
      </c>
      <c r="C71" s="43" t="s">
        <v>394</v>
      </c>
      <c r="D71" s="43" t="s">
        <v>208</v>
      </c>
      <c r="E71" s="43" t="s">
        <v>395</v>
      </c>
      <c r="F71" s="43" t="s">
        <v>396</v>
      </c>
      <c r="G71" s="43">
        <v>2.4300000000000002</v>
      </c>
      <c r="H71" s="43" t="s">
        <v>123</v>
      </c>
      <c r="I71" s="43" t="s">
        <v>117</v>
      </c>
      <c r="K71" s="43" t="s">
        <v>124</v>
      </c>
    </row>
    <row r="72" spans="1:11" x14ac:dyDescent="0.2">
      <c r="A72" s="43">
        <v>3217</v>
      </c>
      <c r="B72" s="43" t="s">
        <v>397</v>
      </c>
      <c r="C72" s="43" t="s">
        <v>398</v>
      </c>
      <c r="D72" s="43" t="s">
        <v>326</v>
      </c>
      <c r="E72" s="43" t="s">
        <v>399</v>
      </c>
      <c r="F72" s="43" t="s">
        <v>400</v>
      </c>
      <c r="G72" s="43">
        <v>3.83</v>
      </c>
      <c r="H72" s="43" t="s">
        <v>156</v>
      </c>
      <c r="I72" s="43" t="s">
        <v>117</v>
      </c>
      <c r="K72" s="43" t="s">
        <v>124</v>
      </c>
    </row>
    <row r="73" spans="1:11" x14ac:dyDescent="0.2">
      <c r="A73" s="43">
        <v>3242</v>
      </c>
      <c r="B73" s="43" t="s">
        <v>401</v>
      </c>
      <c r="C73" s="43" t="s">
        <v>402</v>
      </c>
      <c r="D73" s="43" t="s">
        <v>199</v>
      </c>
      <c r="E73" s="43" t="s">
        <v>403</v>
      </c>
      <c r="F73" s="43" t="s">
        <v>404</v>
      </c>
      <c r="G73" s="43">
        <v>2.0699999999999998</v>
      </c>
      <c r="H73" s="43" t="s">
        <v>156</v>
      </c>
      <c r="I73" s="43" t="s">
        <v>124</v>
      </c>
      <c r="J73" s="43" t="s">
        <v>405</v>
      </c>
      <c r="K73" s="43" t="s">
        <v>117</v>
      </c>
    </row>
    <row r="74" spans="1:11" x14ac:dyDescent="0.2">
      <c r="A74" s="43">
        <v>3276</v>
      </c>
      <c r="B74" s="43" t="s">
        <v>406</v>
      </c>
      <c r="C74" s="43" t="s">
        <v>407</v>
      </c>
      <c r="D74" s="43" t="s">
        <v>230</v>
      </c>
      <c r="E74" s="43" t="s">
        <v>408</v>
      </c>
      <c r="F74" s="43" t="s">
        <v>409</v>
      </c>
      <c r="G74" s="43">
        <v>3.98</v>
      </c>
      <c r="H74" s="43" t="s">
        <v>123</v>
      </c>
      <c r="I74" s="43" t="s">
        <v>117</v>
      </c>
      <c r="K74" s="43" t="s">
        <v>124</v>
      </c>
    </row>
    <row r="75" spans="1:11" x14ac:dyDescent="0.2">
      <c r="A75" s="43">
        <v>3371</v>
      </c>
      <c r="B75" s="43" t="s">
        <v>410</v>
      </c>
      <c r="C75" s="43" t="s">
        <v>411</v>
      </c>
      <c r="D75" s="43" t="s">
        <v>194</v>
      </c>
      <c r="E75" s="43" t="s">
        <v>412</v>
      </c>
      <c r="F75" s="43" t="s">
        <v>413</v>
      </c>
      <c r="G75" s="43">
        <v>2.8</v>
      </c>
      <c r="H75" s="43" t="s">
        <v>156</v>
      </c>
      <c r="I75" s="43" t="s">
        <v>117</v>
      </c>
      <c r="K75" s="43" t="s">
        <v>117</v>
      </c>
    </row>
    <row r="76" spans="1:11" x14ac:dyDescent="0.2">
      <c r="A76" s="43">
        <v>3393</v>
      </c>
      <c r="B76" s="43" t="s">
        <v>414</v>
      </c>
      <c r="C76" s="43" t="s">
        <v>415</v>
      </c>
      <c r="D76" s="43" t="s">
        <v>208</v>
      </c>
      <c r="E76" s="43" t="s">
        <v>416</v>
      </c>
      <c r="F76" s="43" t="s">
        <v>417</v>
      </c>
      <c r="G76" s="43">
        <v>2.36</v>
      </c>
      <c r="H76" s="43" t="s">
        <v>116</v>
      </c>
      <c r="I76" s="43" t="s">
        <v>124</v>
      </c>
      <c r="J76" s="43" t="s">
        <v>418</v>
      </c>
      <c r="K76" s="43" t="s">
        <v>124</v>
      </c>
    </row>
    <row r="77" spans="1:11" x14ac:dyDescent="0.2">
      <c r="A77" s="43">
        <v>3460</v>
      </c>
      <c r="B77" s="43" t="s">
        <v>419</v>
      </c>
      <c r="C77" s="43" t="s">
        <v>420</v>
      </c>
      <c r="D77" s="43" t="s">
        <v>169</v>
      </c>
      <c r="E77" s="43" t="s">
        <v>421</v>
      </c>
      <c r="F77" s="43" t="s">
        <v>422</v>
      </c>
      <c r="G77" s="43">
        <v>3.87</v>
      </c>
      <c r="H77" s="43" t="s">
        <v>123</v>
      </c>
      <c r="I77" s="43" t="s">
        <v>117</v>
      </c>
      <c r="K77" s="43" t="s">
        <v>124</v>
      </c>
    </row>
    <row r="78" spans="1:11" x14ac:dyDescent="0.2">
      <c r="A78" s="43">
        <v>3569</v>
      </c>
      <c r="B78" s="43" t="s">
        <v>423</v>
      </c>
      <c r="C78" s="43" t="s">
        <v>424</v>
      </c>
      <c r="D78" s="43" t="s">
        <v>113</v>
      </c>
      <c r="E78" s="43" t="s">
        <v>425</v>
      </c>
      <c r="F78" s="43" t="s">
        <v>426</v>
      </c>
      <c r="G78" s="43">
        <v>3.54</v>
      </c>
      <c r="H78" s="43" t="s">
        <v>131</v>
      </c>
      <c r="I78" s="43" t="s">
        <v>124</v>
      </c>
      <c r="J78" s="43" t="s">
        <v>318</v>
      </c>
      <c r="K78" s="43" t="s">
        <v>124</v>
      </c>
    </row>
    <row r="79" spans="1:11" x14ac:dyDescent="0.2">
      <c r="A79" s="43">
        <v>3582</v>
      </c>
      <c r="B79" s="43" t="s">
        <v>427</v>
      </c>
      <c r="C79" s="43" t="s">
        <v>428</v>
      </c>
      <c r="D79" s="43" t="s">
        <v>113</v>
      </c>
      <c r="E79" s="43" t="s">
        <v>429</v>
      </c>
      <c r="F79" s="43" t="s">
        <v>430</v>
      </c>
      <c r="G79" s="43">
        <v>3.02</v>
      </c>
      <c r="H79" s="43" t="s">
        <v>123</v>
      </c>
      <c r="I79" s="43" t="s">
        <v>117</v>
      </c>
      <c r="K79" s="43" t="s">
        <v>124</v>
      </c>
    </row>
    <row r="80" spans="1:11" x14ac:dyDescent="0.2">
      <c r="A80" s="43">
        <v>3605</v>
      </c>
      <c r="B80" s="43" t="s">
        <v>431</v>
      </c>
      <c r="C80" s="43" t="s">
        <v>432</v>
      </c>
      <c r="D80" s="43" t="s">
        <v>326</v>
      </c>
      <c r="E80" s="43" t="s">
        <v>433</v>
      </c>
      <c r="F80" s="43" t="s">
        <v>434</v>
      </c>
      <c r="G80" s="43">
        <v>3.12</v>
      </c>
      <c r="H80" s="43" t="s">
        <v>131</v>
      </c>
      <c r="I80" s="43" t="s">
        <v>117</v>
      </c>
      <c r="K80" s="43" t="s">
        <v>117</v>
      </c>
    </row>
    <row r="81" spans="1:11" x14ac:dyDescent="0.2">
      <c r="A81" s="43">
        <v>3648</v>
      </c>
      <c r="B81" s="43" t="s">
        <v>435</v>
      </c>
      <c r="C81" s="43" t="s">
        <v>436</v>
      </c>
      <c r="D81" s="43" t="s">
        <v>437</v>
      </c>
      <c r="E81" s="43" t="s">
        <v>438</v>
      </c>
      <c r="F81" s="43" t="s">
        <v>439</v>
      </c>
      <c r="G81" s="43">
        <v>3.21</v>
      </c>
      <c r="H81" s="43" t="s">
        <v>123</v>
      </c>
      <c r="I81" s="43" t="s">
        <v>117</v>
      </c>
      <c r="K81" s="43" t="s">
        <v>124</v>
      </c>
    </row>
    <row r="82" spans="1:11" x14ac:dyDescent="0.2">
      <c r="A82" s="43">
        <v>3672</v>
      </c>
      <c r="B82" s="43" t="s">
        <v>440</v>
      </c>
      <c r="C82" s="43" t="s">
        <v>441</v>
      </c>
      <c r="D82" s="43" t="s">
        <v>149</v>
      </c>
      <c r="E82" s="43" t="s">
        <v>442</v>
      </c>
      <c r="F82" s="43" t="s">
        <v>443</v>
      </c>
      <c r="G82" s="43">
        <v>3.31</v>
      </c>
      <c r="H82" s="43" t="s">
        <v>123</v>
      </c>
      <c r="I82" s="43" t="s">
        <v>124</v>
      </c>
      <c r="J82" s="43" t="s">
        <v>270</v>
      </c>
      <c r="K82" s="43" t="s">
        <v>124</v>
      </c>
    </row>
    <row r="83" spans="1:11" x14ac:dyDescent="0.2">
      <c r="A83" s="43">
        <v>3728</v>
      </c>
      <c r="B83" s="43" t="s">
        <v>444</v>
      </c>
      <c r="C83" s="43" t="s">
        <v>445</v>
      </c>
      <c r="D83" s="43" t="s">
        <v>446</v>
      </c>
      <c r="E83" s="43" t="s">
        <v>447</v>
      </c>
      <c r="F83" s="43" t="s">
        <v>448</v>
      </c>
      <c r="G83" s="43">
        <v>3.73</v>
      </c>
      <c r="H83" s="43" t="s">
        <v>156</v>
      </c>
      <c r="I83" s="43" t="s">
        <v>117</v>
      </c>
      <c r="K83" s="43" t="s">
        <v>117</v>
      </c>
    </row>
    <row r="84" spans="1:11" x14ac:dyDescent="0.2">
      <c r="A84" s="43">
        <v>3749</v>
      </c>
      <c r="B84" s="43" t="s">
        <v>449</v>
      </c>
      <c r="C84" s="43" t="s">
        <v>450</v>
      </c>
      <c r="D84" s="43" t="s">
        <v>235</v>
      </c>
      <c r="E84" s="43" t="s">
        <v>451</v>
      </c>
      <c r="F84" s="43" t="s">
        <v>452</v>
      </c>
      <c r="G84" s="43">
        <v>3.92</v>
      </c>
      <c r="H84" s="43" t="s">
        <v>131</v>
      </c>
      <c r="I84" s="43" t="s">
        <v>117</v>
      </c>
      <c r="K84" s="43" t="s">
        <v>124</v>
      </c>
    </row>
    <row r="85" spans="1:11" x14ac:dyDescent="0.2">
      <c r="A85" s="43">
        <v>3757</v>
      </c>
      <c r="B85" s="43" t="s">
        <v>453</v>
      </c>
      <c r="C85" s="43" t="s">
        <v>454</v>
      </c>
      <c r="D85" s="43" t="s">
        <v>235</v>
      </c>
      <c r="E85" s="43" t="s">
        <v>455</v>
      </c>
      <c r="F85" s="43" t="s">
        <v>456</v>
      </c>
      <c r="G85" s="43">
        <v>2.48</v>
      </c>
      <c r="H85" s="43" t="s">
        <v>123</v>
      </c>
      <c r="I85" s="43" t="s">
        <v>117</v>
      </c>
      <c r="K85" s="43" t="s">
        <v>124</v>
      </c>
    </row>
    <row r="86" spans="1:11" x14ac:dyDescent="0.2">
      <c r="A86" s="43">
        <v>3772</v>
      </c>
      <c r="B86" s="43" t="s">
        <v>457</v>
      </c>
      <c r="C86" s="43" t="s">
        <v>458</v>
      </c>
      <c r="D86" s="43" t="s">
        <v>208</v>
      </c>
      <c r="E86" s="43" t="s">
        <v>459</v>
      </c>
      <c r="F86" s="43" t="s">
        <v>460</v>
      </c>
      <c r="G86" s="43">
        <v>3.35</v>
      </c>
      <c r="H86" s="43" t="s">
        <v>123</v>
      </c>
      <c r="I86" s="43" t="s">
        <v>117</v>
      </c>
      <c r="K86" s="43" t="s">
        <v>117</v>
      </c>
    </row>
    <row r="87" spans="1:11" x14ac:dyDescent="0.2">
      <c r="A87" s="43">
        <v>3778</v>
      </c>
      <c r="B87" s="43" t="s">
        <v>461</v>
      </c>
      <c r="C87" s="43" t="s">
        <v>462</v>
      </c>
      <c r="D87" s="43" t="s">
        <v>128</v>
      </c>
      <c r="E87" s="43" t="s">
        <v>463</v>
      </c>
      <c r="F87" s="43" t="s">
        <v>464</v>
      </c>
      <c r="G87" s="43">
        <v>2.0499999999999998</v>
      </c>
      <c r="H87" s="43" t="s">
        <v>123</v>
      </c>
      <c r="I87" s="43" t="s">
        <v>117</v>
      </c>
      <c r="K87" s="43" t="s">
        <v>117</v>
      </c>
    </row>
    <row r="88" spans="1:11" x14ac:dyDescent="0.2">
      <c r="A88" s="43">
        <v>3786</v>
      </c>
      <c r="B88" s="43" t="s">
        <v>465</v>
      </c>
      <c r="C88" s="43" t="s">
        <v>466</v>
      </c>
      <c r="D88" s="43" t="s">
        <v>351</v>
      </c>
      <c r="E88" s="43" t="s">
        <v>467</v>
      </c>
      <c r="F88" s="43" t="s">
        <v>468</v>
      </c>
      <c r="G88" s="43">
        <v>3.62</v>
      </c>
      <c r="H88" s="43" t="s">
        <v>116</v>
      </c>
      <c r="I88" s="43" t="s">
        <v>124</v>
      </c>
      <c r="J88" s="43" t="s">
        <v>469</v>
      </c>
      <c r="K88" s="43" t="s">
        <v>124</v>
      </c>
    </row>
    <row r="89" spans="1:11" x14ac:dyDescent="0.2">
      <c r="A89" s="43">
        <v>3788</v>
      </c>
      <c r="B89" s="43" t="s">
        <v>470</v>
      </c>
      <c r="C89" s="43" t="s">
        <v>471</v>
      </c>
      <c r="D89" s="43" t="s">
        <v>183</v>
      </c>
      <c r="E89" s="43" t="s">
        <v>472</v>
      </c>
      <c r="F89" s="43" t="s">
        <v>473</v>
      </c>
      <c r="G89" s="43">
        <v>2.2599999999999998</v>
      </c>
      <c r="H89" s="43" t="s">
        <v>156</v>
      </c>
      <c r="I89" s="43" t="s">
        <v>117</v>
      </c>
      <c r="K89" s="43" t="s">
        <v>124</v>
      </c>
    </row>
    <row r="90" spans="1:11" x14ac:dyDescent="0.2">
      <c r="A90" s="43">
        <v>3874</v>
      </c>
      <c r="B90" s="43" t="s">
        <v>474</v>
      </c>
      <c r="C90" s="43" t="s">
        <v>475</v>
      </c>
      <c r="D90" s="43" t="s">
        <v>113</v>
      </c>
      <c r="E90" s="43" t="s">
        <v>476</v>
      </c>
      <c r="F90" s="43" t="s">
        <v>477</v>
      </c>
      <c r="G90" s="43">
        <v>3.42</v>
      </c>
      <c r="H90" s="43" t="s">
        <v>116</v>
      </c>
      <c r="I90" s="43" t="s">
        <v>117</v>
      </c>
      <c r="K90" s="43" t="s">
        <v>117</v>
      </c>
    </row>
    <row r="91" spans="1:11" x14ac:dyDescent="0.2">
      <c r="A91" s="43">
        <v>4141</v>
      </c>
      <c r="B91" s="43" t="s">
        <v>252</v>
      </c>
      <c r="C91" s="43" t="s">
        <v>478</v>
      </c>
      <c r="D91" s="43" t="s">
        <v>183</v>
      </c>
      <c r="E91" s="43" t="s">
        <v>479</v>
      </c>
      <c r="F91" s="43" t="s">
        <v>480</v>
      </c>
      <c r="G91" s="43">
        <v>2.34</v>
      </c>
      <c r="H91" s="43" t="s">
        <v>116</v>
      </c>
      <c r="I91" s="43" t="s">
        <v>124</v>
      </c>
      <c r="J91" s="43" t="s">
        <v>370</v>
      </c>
      <c r="K91" s="43" t="s">
        <v>117</v>
      </c>
    </row>
    <row r="92" spans="1:11" x14ac:dyDescent="0.2">
      <c r="A92" s="43">
        <v>4145</v>
      </c>
      <c r="B92" s="43" t="s">
        <v>375</v>
      </c>
      <c r="C92" s="43" t="s">
        <v>481</v>
      </c>
      <c r="D92" s="43" t="s">
        <v>113</v>
      </c>
      <c r="E92" s="43" t="s">
        <v>482</v>
      </c>
      <c r="F92" s="43" t="s">
        <v>483</v>
      </c>
      <c r="G92" s="43">
        <v>3.56</v>
      </c>
      <c r="H92" s="43" t="s">
        <v>131</v>
      </c>
      <c r="I92" s="43" t="s">
        <v>117</v>
      </c>
      <c r="K92" s="43" t="s">
        <v>124</v>
      </c>
    </row>
    <row r="93" spans="1:11" x14ac:dyDescent="0.2">
      <c r="A93" s="43">
        <v>4195</v>
      </c>
      <c r="B93" s="43" t="s">
        <v>197</v>
      </c>
      <c r="C93" s="43" t="s">
        <v>484</v>
      </c>
      <c r="D93" s="43" t="s">
        <v>485</v>
      </c>
      <c r="E93" s="43" t="s">
        <v>486</v>
      </c>
      <c r="F93" s="43" t="s">
        <v>487</v>
      </c>
      <c r="G93" s="43">
        <v>2.67</v>
      </c>
      <c r="H93" s="43" t="s">
        <v>156</v>
      </c>
      <c r="I93" s="43" t="s">
        <v>117</v>
      </c>
      <c r="K93" s="43" t="s">
        <v>117</v>
      </c>
    </row>
    <row r="94" spans="1:11" x14ac:dyDescent="0.2">
      <c r="A94" s="43">
        <v>4213</v>
      </c>
      <c r="B94" s="43" t="s">
        <v>488</v>
      </c>
      <c r="C94" s="43" t="s">
        <v>489</v>
      </c>
      <c r="D94" s="43" t="s">
        <v>303</v>
      </c>
      <c r="E94" s="43" t="s">
        <v>490</v>
      </c>
      <c r="F94" s="43" t="s">
        <v>491</v>
      </c>
      <c r="G94" s="43">
        <v>3.5</v>
      </c>
      <c r="H94" s="43" t="s">
        <v>156</v>
      </c>
      <c r="I94" s="43" t="s">
        <v>124</v>
      </c>
      <c r="J94" s="43" t="s">
        <v>492</v>
      </c>
      <c r="K94" s="43" t="s">
        <v>124</v>
      </c>
    </row>
    <row r="95" spans="1:11" x14ac:dyDescent="0.2">
      <c r="A95" s="43">
        <v>4267</v>
      </c>
      <c r="B95" s="43" t="s">
        <v>493</v>
      </c>
      <c r="C95" s="43" t="s">
        <v>494</v>
      </c>
      <c r="D95" s="43" t="s">
        <v>495</v>
      </c>
      <c r="E95" s="43" t="s">
        <v>496</v>
      </c>
      <c r="F95" s="43" t="s">
        <v>497</v>
      </c>
      <c r="G95" s="43">
        <v>3.4</v>
      </c>
      <c r="H95" s="43" t="s">
        <v>116</v>
      </c>
      <c r="I95" s="43" t="s">
        <v>117</v>
      </c>
      <c r="K95" s="43" t="s">
        <v>117</v>
      </c>
    </row>
    <row r="96" spans="1:11" x14ac:dyDescent="0.2">
      <c r="A96" s="43">
        <v>4343</v>
      </c>
      <c r="B96" s="43" t="s">
        <v>498</v>
      </c>
      <c r="C96" s="43" t="s">
        <v>436</v>
      </c>
      <c r="D96" s="43" t="s">
        <v>495</v>
      </c>
      <c r="E96" s="43" t="s">
        <v>499</v>
      </c>
      <c r="F96" s="43" t="s">
        <v>500</v>
      </c>
      <c r="G96" s="43">
        <v>3.21</v>
      </c>
      <c r="H96" s="43" t="s">
        <v>123</v>
      </c>
      <c r="I96" s="43" t="s">
        <v>117</v>
      </c>
      <c r="K96" s="43" t="s">
        <v>124</v>
      </c>
    </row>
    <row r="97" spans="1:11" x14ac:dyDescent="0.2">
      <c r="A97" s="43">
        <v>4392</v>
      </c>
      <c r="B97" s="43" t="s">
        <v>501</v>
      </c>
      <c r="C97" s="43" t="s">
        <v>502</v>
      </c>
      <c r="D97" s="43" t="s">
        <v>326</v>
      </c>
      <c r="E97" s="43" t="s">
        <v>503</v>
      </c>
      <c r="F97" s="43" t="s">
        <v>504</v>
      </c>
      <c r="G97" s="43">
        <v>2.5099999999999998</v>
      </c>
      <c r="H97" s="43" t="s">
        <v>131</v>
      </c>
      <c r="I97" s="43" t="s">
        <v>117</v>
      </c>
      <c r="K97" s="43" t="s">
        <v>117</v>
      </c>
    </row>
    <row r="98" spans="1:11" x14ac:dyDescent="0.2">
      <c r="A98" s="43">
        <v>4429</v>
      </c>
      <c r="B98" s="43" t="s">
        <v>505</v>
      </c>
      <c r="C98" s="43" t="s">
        <v>506</v>
      </c>
      <c r="D98" s="43" t="s">
        <v>331</v>
      </c>
      <c r="E98" s="43" t="s">
        <v>507</v>
      </c>
      <c r="F98" s="43" t="s">
        <v>508</v>
      </c>
      <c r="G98" s="43">
        <v>3.5</v>
      </c>
      <c r="H98" s="43" t="s">
        <v>123</v>
      </c>
      <c r="I98" s="43" t="s">
        <v>117</v>
      </c>
      <c r="K98" s="43" t="s">
        <v>124</v>
      </c>
    </row>
    <row r="99" spans="1:11" x14ac:dyDescent="0.2">
      <c r="A99" s="43">
        <v>4450</v>
      </c>
      <c r="B99" s="43" t="s">
        <v>509</v>
      </c>
      <c r="C99" s="43" t="s">
        <v>510</v>
      </c>
      <c r="D99" s="43" t="s">
        <v>134</v>
      </c>
      <c r="E99" s="43" t="s">
        <v>511</v>
      </c>
      <c r="F99" s="43" t="s">
        <v>512</v>
      </c>
      <c r="G99" s="43">
        <v>2</v>
      </c>
      <c r="H99" s="43" t="s">
        <v>116</v>
      </c>
      <c r="I99" s="43" t="s">
        <v>117</v>
      </c>
      <c r="K99" s="43" t="s">
        <v>124</v>
      </c>
    </row>
    <row r="100" spans="1:11" x14ac:dyDescent="0.2">
      <c r="A100" s="43">
        <v>4473</v>
      </c>
      <c r="B100" s="43" t="s">
        <v>513</v>
      </c>
      <c r="C100" s="43" t="s">
        <v>514</v>
      </c>
      <c r="D100" s="43" t="s">
        <v>235</v>
      </c>
      <c r="E100" s="43" t="s">
        <v>515</v>
      </c>
      <c r="F100" s="43" t="s">
        <v>516</v>
      </c>
      <c r="G100" s="43">
        <v>2.5499999999999998</v>
      </c>
      <c r="H100" s="43" t="s">
        <v>131</v>
      </c>
      <c r="I100" s="43" t="s">
        <v>117</v>
      </c>
      <c r="K100" s="43" t="s">
        <v>124</v>
      </c>
    </row>
    <row r="101" spans="1:11" x14ac:dyDescent="0.2">
      <c r="A101" s="43">
        <v>4494</v>
      </c>
      <c r="B101" s="43" t="s">
        <v>517</v>
      </c>
      <c r="C101" s="43" t="s">
        <v>518</v>
      </c>
      <c r="D101" s="43" t="s">
        <v>446</v>
      </c>
      <c r="E101" s="43" t="s">
        <v>519</v>
      </c>
      <c r="F101" s="43" t="s">
        <v>520</v>
      </c>
      <c r="G101" s="43">
        <v>2.44</v>
      </c>
      <c r="H101" s="43" t="s">
        <v>131</v>
      </c>
      <c r="I101" s="43" t="s">
        <v>117</v>
      </c>
      <c r="K101" s="43" t="s">
        <v>117</v>
      </c>
    </row>
    <row r="102" spans="1:11" x14ac:dyDescent="0.2">
      <c r="A102" s="43">
        <v>4502</v>
      </c>
      <c r="B102" s="43" t="s">
        <v>521</v>
      </c>
      <c r="C102" s="43" t="s">
        <v>522</v>
      </c>
      <c r="D102" s="43" t="s">
        <v>523</v>
      </c>
      <c r="E102" s="43" t="s">
        <v>524</v>
      </c>
      <c r="F102" s="43" t="s">
        <v>525</v>
      </c>
      <c r="G102" s="43">
        <v>3.5</v>
      </c>
      <c r="H102" s="43" t="s">
        <v>123</v>
      </c>
      <c r="I102" s="43" t="s">
        <v>117</v>
      </c>
      <c r="K102" s="43" t="s">
        <v>124</v>
      </c>
    </row>
    <row r="103" spans="1:11" x14ac:dyDescent="0.2">
      <c r="A103" s="43">
        <v>4645</v>
      </c>
      <c r="B103" s="43" t="s">
        <v>526</v>
      </c>
      <c r="C103" s="43" t="s">
        <v>527</v>
      </c>
      <c r="D103" s="43" t="s">
        <v>113</v>
      </c>
      <c r="E103" s="43" t="s">
        <v>528</v>
      </c>
      <c r="F103" s="43" t="s">
        <v>529</v>
      </c>
      <c r="G103" s="43">
        <v>2.78</v>
      </c>
      <c r="H103" s="43" t="s">
        <v>131</v>
      </c>
      <c r="I103" s="43" t="s">
        <v>117</v>
      </c>
      <c r="K103" s="43" t="s">
        <v>117</v>
      </c>
    </row>
    <row r="104" spans="1:11" x14ac:dyDescent="0.2">
      <c r="A104" s="43">
        <v>4689</v>
      </c>
      <c r="B104" s="43" t="s">
        <v>530</v>
      </c>
      <c r="C104" s="43" t="s">
        <v>531</v>
      </c>
      <c r="D104" s="43" t="s">
        <v>128</v>
      </c>
      <c r="E104" s="43" t="s">
        <v>532</v>
      </c>
      <c r="F104" s="43" t="s">
        <v>533</v>
      </c>
      <c r="G104" s="43">
        <v>2.79</v>
      </c>
      <c r="H104" s="43" t="s">
        <v>156</v>
      </c>
      <c r="I104" s="43" t="s">
        <v>117</v>
      </c>
      <c r="K104" s="43" t="s">
        <v>117</v>
      </c>
    </row>
    <row r="105" spans="1:11" x14ac:dyDescent="0.2">
      <c r="A105" s="43">
        <v>4702</v>
      </c>
      <c r="B105" s="43" t="s">
        <v>534</v>
      </c>
      <c r="C105" s="43" t="s">
        <v>535</v>
      </c>
      <c r="D105" s="43" t="s">
        <v>485</v>
      </c>
      <c r="E105" s="43" t="s">
        <v>536</v>
      </c>
      <c r="F105" s="43" t="s">
        <v>537</v>
      </c>
      <c r="G105" s="43">
        <v>2.62</v>
      </c>
      <c r="H105" s="43" t="s">
        <v>156</v>
      </c>
      <c r="I105" s="43" t="s">
        <v>124</v>
      </c>
      <c r="J105" s="43" t="s">
        <v>125</v>
      </c>
      <c r="K105" s="43" t="s">
        <v>117</v>
      </c>
    </row>
    <row r="106" spans="1:11" x14ac:dyDescent="0.2">
      <c r="A106" s="43">
        <v>4737</v>
      </c>
      <c r="B106" s="43" t="s">
        <v>538</v>
      </c>
      <c r="C106" s="43" t="s">
        <v>539</v>
      </c>
      <c r="D106" s="43" t="s">
        <v>113</v>
      </c>
      <c r="E106" s="43" t="s">
        <v>540</v>
      </c>
      <c r="F106" s="43" t="s">
        <v>541</v>
      </c>
      <c r="G106" s="43">
        <v>2.86</v>
      </c>
      <c r="H106" s="43" t="s">
        <v>131</v>
      </c>
      <c r="I106" s="43" t="s">
        <v>117</v>
      </c>
      <c r="K106" s="43" t="s">
        <v>117</v>
      </c>
    </row>
    <row r="107" spans="1:11" x14ac:dyDescent="0.2">
      <c r="A107" s="43">
        <v>4769</v>
      </c>
      <c r="B107" s="43" t="s">
        <v>542</v>
      </c>
      <c r="C107" s="43" t="s">
        <v>543</v>
      </c>
      <c r="D107" s="43" t="s">
        <v>208</v>
      </c>
      <c r="E107" s="43" t="s">
        <v>544</v>
      </c>
      <c r="F107" s="43" t="s">
        <v>545</v>
      </c>
      <c r="G107" s="43">
        <v>2.1800000000000002</v>
      </c>
      <c r="H107" s="43" t="s">
        <v>123</v>
      </c>
      <c r="I107" s="43" t="s">
        <v>117</v>
      </c>
      <c r="K107" s="43" t="s">
        <v>124</v>
      </c>
    </row>
    <row r="108" spans="1:11" x14ac:dyDescent="0.2">
      <c r="A108" s="43">
        <v>4772</v>
      </c>
      <c r="B108" s="43" t="s">
        <v>546</v>
      </c>
      <c r="C108" s="43" t="s">
        <v>547</v>
      </c>
      <c r="D108" s="43" t="s">
        <v>120</v>
      </c>
      <c r="E108" s="43" t="s">
        <v>548</v>
      </c>
      <c r="F108" s="43" t="s">
        <v>549</v>
      </c>
      <c r="G108" s="43">
        <v>3.18</v>
      </c>
      <c r="H108" s="43" t="s">
        <v>116</v>
      </c>
      <c r="I108" s="43" t="s">
        <v>117</v>
      </c>
      <c r="K108" s="43" t="s">
        <v>124</v>
      </c>
    </row>
    <row r="109" spans="1:11" x14ac:dyDescent="0.2">
      <c r="A109" s="43">
        <v>4792</v>
      </c>
      <c r="B109" s="43" t="s">
        <v>550</v>
      </c>
      <c r="C109" s="43" t="s">
        <v>551</v>
      </c>
      <c r="D109" s="43" t="s">
        <v>194</v>
      </c>
      <c r="E109" s="43" t="s">
        <v>552</v>
      </c>
      <c r="F109" s="43" t="s">
        <v>553</v>
      </c>
      <c r="G109" s="43">
        <v>3.81</v>
      </c>
      <c r="H109" s="43" t="s">
        <v>123</v>
      </c>
      <c r="I109" s="43" t="s">
        <v>117</v>
      </c>
      <c r="K109" s="43" t="s">
        <v>117</v>
      </c>
    </row>
    <row r="110" spans="1:11" x14ac:dyDescent="0.2">
      <c r="A110" s="43">
        <v>4827</v>
      </c>
      <c r="B110" s="43" t="s">
        <v>554</v>
      </c>
      <c r="C110" s="43" t="s">
        <v>555</v>
      </c>
      <c r="D110" s="43" t="s">
        <v>390</v>
      </c>
      <c r="E110" s="43" t="s">
        <v>556</v>
      </c>
      <c r="F110" s="43" t="s">
        <v>557</v>
      </c>
      <c r="G110" s="43">
        <v>2.27</v>
      </c>
      <c r="H110" s="43" t="s">
        <v>156</v>
      </c>
      <c r="I110" s="43" t="s">
        <v>117</v>
      </c>
      <c r="K110" s="43" t="s">
        <v>124</v>
      </c>
    </row>
    <row r="111" spans="1:11" x14ac:dyDescent="0.2">
      <c r="A111" s="43">
        <v>4833</v>
      </c>
      <c r="B111" s="43" t="s">
        <v>246</v>
      </c>
      <c r="C111" s="43" t="s">
        <v>558</v>
      </c>
      <c r="D111" s="43" t="s">
        <v>390</v>
      </c>
      <c r="E111" s="43" t="s">
        <v>559</v>
      </c>
      <c r="F111" s="43" t="s">
        <v>560</v>
      </c>
      <c r="G111" s="43">
        <v>2.14</v>
      </c>
      <c r="H111" s="43" t="s">
        <v>116</v>
      </c>
      <c r="I111" s="43" t="s">
        <v>117</v>
      </c>
      <c r="K111" s="43" t="s">
        <v>117</v>
      </c>
    </row>
    <row r="112" spans="1:11" x14ac:dyDescent="0.2">
      <c r="A112" s="43">
        <v>4888</v>
      </c>
      <c r="B112" s="43" t="s">
        <v>561</v>
      </c>
      <c r="C112" s="43" t="s">
        <v>562</v>
      </c>
      <c r="D112" s="43" t="s">
        <v>303</v>
      </c>
      <c r="E112" s="43" t="s">
        <v>563</v>
      </c>
      <c r="F112" s="43" t="s">
        <v>564</v>
      </c>
      <c r="G112" s="43">
        <v>3.49</v>
      </c>
      <c r="H112" s="43" t="s">
        <v>131</v>
      </c>
      <c r="I112" s="43" t="s">
        <v>117</v>
      </c>
      <c r="K112" s="43" t="s">
        <v>117</v>
      </c>
    </row>
    <row r="113" spans="1:11" x14ac:dyDescent="0.2">
      <c r="A113" s="43">
        <v>5135</v>
      </c>
      <c r="B113" s="43" t="s">
        <v>493</v>
      </c>
      <c r="C113" s="43" t="s">
        <v>565</v>
      </c>
      <c r="D113" s="43" t="s">
        <v>194</v>
      </c>
      <c r="E113" s="43" t="s">
        <v>566</v>
      </c>
      <c r="F113" s="43" t="s">
        <v>567</v>
      </c>
      <c r="G113" s="43">
        <v>2.29</v>
      </c>
      <c r="H113" s="43" t="s">
        <v>156</v>
      </c>
      <c r="I113" s="43" t="s">
        <v>117</v>
      </c>
      <c r="K113" s="43" t="s">
        <v>124</v>
      </c>
    </row>
    <row r="114" spans="1:11" x14ac:dyDescent="0.2">
      <c r="A114" s="43">
        <v>5141</v>
      </c>
      <c r="B114" s="43" t="s">
        <v>568</v>
      </c>
      <c r="C114" s="43" t="s">
        <v>569</v>
      </c>
      <c r="D114" s="43" t="s">
        <v>208</v>
      </c>
      <c r="E114" s="43" t="s">
        <v>570</v>
      </c>
      <c r="F114" s="43" t="s">
        <v>571</v>
      </c>
      <c r="G114" s="43">
        <v>3.57</v>
      </c>
      <c r="H114" s="43" t="s">
        <v>123</v>
      </c>
      <c r="I114" s="43" t="s">
        <v>117</v>
      </c>
      <c r="K114" s="43" t="s">
        <v>124</v>
      </c>
    </row>
    <row r="115" spans="1:11" x14ac:dyDescent="0.2">
      <c r="A115" s="43">
        <v>5213</v>
      </c>
      <c r="B115" s="43" t="s">
        <v>572</v>
      </c>
      <c r="C115" s="43" t="s">
        <v>573</v>
      </c>
      <c r="D115" s="43" t="s">
        <v>113</v>
      </c>
      <c r="E115" s="43" t="s">
        <v>574</v>
      </c>
      <c r="F115" s="43" t="s">
        <v>575</v>
      </c>
      <c r="G115" s="43">
        <v>3.34</v>
      </c>
      <c r="H115" s="43" t="s">
        <v>116</v>
      </c>
      <c r="I115" s="43" t="s">
        <v>117</v>
      </c>
      <c r="K115" s="43" t="s">
        <v>117</v>
      </c>
    </row>
    <row r="116" spans="1:11" x14ac:dyDescent="0.2">
      <c r="A116" s="43">
        <v>5299</v>
      </c>
      <c r="B116" s="43" t="s">
        <v>576</v>
      </c>
      <c r="C116" s="43" t="s">
        <v>577</v>
      </c>
      <c r="D116" s="43" t="s">
        <v>113</v>
      </c>
      <c r="E116" s="43" t="s">
        <v>578</v>
      </c>
      <c r="F116" s="43" t="s">
        <v>579</v>
      </c>
      <c r="G116" s="43">
        <v>2.5499999999999998</v>
      </c>
      <c r="H116" s="43" t="s">
        <v>156</v>
      </c>
      <c r="I116" s="43" t="s">
        <v>117</v>
      </c>
      <c r="K116" s="43" t="s">
        <v>124</v>
      </c>
    </row>
    <row r="117" spans="1:11" x14ac:dyDescent="0.2">
      <c r="A117" s="43">
        <v>5341</v>
      </c>
      <c r="B117" s="43" t="s">
        <v>580</v>
      </c>
      <c r="C117" s="43" t="s">
        <v>581</v>
      </c>
      <c r="D117" s="43" t="s">
        <v>178</v>
      </c>
      <c r="E117" s="43" t="s">
        <v>582</v>
      </c>
      <c r="F117" s="43" t="s">
        <v>583</v>
      </c>
      <c r="G117" s="43">
        <v>2.3199999999999998</v>
      </c>
      <c r="H117" s="43" t="s">
        <v>156</v>
      </c>
      <c r="I117" s="43" t="s">
        <v>117</v>
      </c>
      <c r="K117" s="43" t="s">
        <v>124</v>
      </c>
    </row>
    <row r="118" spans="1:11" x14ac:dyDescent="0.2">
      <c r="A118" s="43">
        <v>5342</v>
      </c>
      <c r="B118" s="43" t="s">
        <v>584</v>
      </c>
      <c r="C118" s="43" t="s">
        <v>585</v>
      </c>
      <c r="D118" s="43" t="s">
        <v>586</v>
      </c>
      <c r="E118" s="43" t="s">
        <v>587</v>
      </c>
      <c r="F118" s="43" t="s">
        <v>588</v>
      </c>
      <c r="G118" s="43">
        <v>2.5099999999999998</v>
      </c>
      <c r="H118" s="43" t="s">
        <v>123</v>
      </c>
      <c r="I118" s="43" t="s">
        <v>117</v>
      </c>
      <c r="K118" s="43" t="s">
        <v>117</v>
      </c>
    </row>
    <row r="119" spans="1:11" x14ac:dyDescent="0.2">
      <c r="A119" s="43">
        <v>5396</v>
      </c>
      <c r="B119" s="43" t="s">
        <v>589</v>
      </c>
      <c r="C119" s="43" t="s">
        <v>590</v>
      </c>
      <c r="D119" s="43" t="s">
        <v>591</v>
      </c>
      <c r="E119" s="43" t="s">
        <v>592</v>
      </c>
      <c r="F119" s="43" t="s">
        <v>593</v>
      </c>
      <c r="G119" s="43">
        <v>3.04</v>
      </c>
      <c r="H119" s="43" t="s">
        <v>131</v>
      </c>
      <c r="I119" s="43" t="s">
        <v>117</v>
      </c>
      <c r="K119" s="43" t="s">
        <v>124</v>
      </c>
    </row>
    <row r="120" spans="1:11" x14ac:dyDescent="0.2">
      <c r="A120" s="43">
        <v>5432</v>
      </c>
      <c r="B120" s="43" t="s">
        <v>594</v>
      </c>
      <c r="C120" s="43" t="s">
        <v>595</v>
      </c>
      <c r="D120" s="43" t="s">
        <v>326</v>
      </c>
      <c r="E120" s="43" t="s">
        <v>596</v>
      </c>
      <c r="F120" s="43" t="s">
        <v>597</v>
      </c>
      <c r="G120" s="43">
        <v>2.0499999999999998</v>
      </c>
      <c r="H120" s="43" t="s">
        <v>116</v>
      </c>
      <c r="I120" s="43" t="s">
        <v>117</v>
      </c>
      <c r="K120" s="43" t="s">
        <v>117</v>
      </c>
    </row>
    <row r="121" spans="1:11" x14ac:dyDescent="0.2">
      <c r="A121" s="43">
        <v>5437</v>
      </c>
      <c r="B121" s="43" t="s">
        <v>228</v>
      </c>
      <c r="C121" s="43" t="s">
        <v>598</v>
      </c>
      <c r="D121" s="43" t="s">
        <v>134</v>
      </c>
      <c r="E121" s="43" t="s">
        <v>599</v>
      </c>
      <c r="F121" s="43" t="s">
        <v>600</v>
      </c>
      <c r="G121" s="43">
        <v>3.7</v>
      </c>
      <c r="H121" s="43" t="s">
        <v>131</v>
      </c>
      <c r="I121" s="43" t="s">
        <v>117</v>
      </c>
      <c r="K121" s="43" t="s">
        <v>124</v>
      </c>
    </row>
    <row r="122" spans="1:11" x14ac:dyDescent="0.2">
      <c r="A122" s="43">
        <v>5501</v>
      </c>
      <c r="B122" s="43" t="s">
        <v>601</v>
      </c>
      <c r="C122" s="43" t="s">
        <v>602</v>
      </c>
      <c r="D122" s="43" t="s">
        <v>437</v>
      </c>
      <c r="E122" s="43" t="s">
        <v>603</v>
      </c>
      <c r="F122" s="43" t="s">
        <v>604</v>
      </c>
      <c r="G122" s="43">
        <v>3.93</v>
      </c>
      <c r="H122" s="43" t="s">
        <v>131</v>
      </c>
      <c r="I122" s="43" t="s">
        <v>124</v>
      </c>
      <c r="J122" s="43" t="s">
        <v>166</v>
      </c>
      <c r="K122" s="43" t="s">
        <v>124</v>
      </c>
    </row>
    <row r="123" spans="1:11" x14ac:dyDescent="0.2">
      <c r="A123" s="43">
        <v>5578</v>
      </c>
      <c r="B123" s="43" t="s">
        <v>605</v>
      </c>
      <c r="C123" s="43" t="s">
        <v>606</v>
      </c>
      <c r="D123" s="43" t="s">
        <v>113</v>
      </c>
      <c r="E123" s="43" t="s">
        <v>607</v>
      </c>
      <c r="F123" s="43" t="s">
        <v>608</v>
      </c>
      <c r="G123" s="43">
        <v>2.5099999999999998</v>
      </c>
      <c r="H123" s="43" t="s">
        <v>116</v>
      </c>
      <c r="I123" s="43" t="s">
        <v>124</v>
      </c>
      <c r="J123" s="43" t="s">
        <v>469</v>
      </c>
      <c r="K123" s="43" t="s">
        <v>117</v>
      </c>
    </row>
    <row r="124" spans="1:11" x14ac:dyDescent="0.2">
      <c r="A124" s="43">
        <v>5579</v>
      </c>
      <c r="B124" s="43" t="s">
        <v>609</v>
      </c>
      <c r="C124" s="43" t="s">
        <v>610</v>
      </c>
      <c r="D124" s="43" t="s">
        <v>208</v>
      </c>
      <c r="E124" s="43" t="s">
        <v>611</v>
      </c>
      <c r="F124" s="43" t="s">
        <v>612</v>
      </c>
      <c r="G124" s="43">
        <v>3.39</v>
      </c>
      <c r="H124" s="43" t="s">
        <v>156</v>
      </c>
      <c r="I124" s="43" t="s">
        <v>124</v>
      </c>
      <c r="J124" s="43" t="s">
        <v>251</v>
      </c>
      <c r="K124" s="43" t="s">
        <v>124</v>
      </c>
    </row>
    <row r="125" spans="1:11" x14ac:dyDescent="0.2">
      <c r="A125" s="43">
        <v>5690</v>
      </c>
      <c r="B125" s="43" t="s">
        <v>613</v>
      </c>
      <c r="C125" s="43" t="s">
        <v>614</v>
      </c>
      <c r="D125" s="43" t="s">
        <v>159</v>
      </c>
      <c r="E125" s="43" t="s">
        <v>615</v>
      </c>
      <c r="F125" s="43" t="s">
        <v>616</v>
      </c>
      <c r="G125" s="43">
        <v>3.76</v>
      </c>
      <c r="H125" s="43" t="s">
        <v>156</v>
      </c>
      <c r="I125" s="43" t="s">
        <v>117</v>
      </c>
      <c r="K125" s="43" t="s">
        <v>117</v>
      </c>
    </row>
    <row r="126" spans="1:11" x14ac:dyDescent="0.2">
      <c r="A126" s="43">
        <v>5694</v>
      </c>
      <c r="B126" s="43" t="s">
        <v>617</v>
      </c>
      <c r="C126" s="43" t="s">
        <v>618</v>
      </c>
      <c r="D126" s="43" t="s">
        <v>591</v>
      </c>
      <c r="E126" s="43" t="s">
        <v>619</v>
      </c>
      <c r="F126" s="43" t="s">
        <v>620</v>
      </c>
      <c r="G126" s="43">
        <v>3.54</v>
      </c>
      <c r="H126" s="43" t="s">
        <v>131</v>
      </c>
      <c r="I126" s="43" t="s">
        <v>117</v>
      </c>
      <c r="K126" s="43" t="s">
        <v>124</v>
      </c>
    </row>
    <row r="127" spans="1:11" x14ac:dyDescent="0.2">
      <c r="A127" s="43">
        <v>5774</v>
      </c>
      <c r="B127" s="43" t="s">
        <v>338</v>
      </c>
      <c r="C127" s="43" t="s">
        <v>621</v>
      </c>
      <c r="D127" s="43" t="s">
        <v>128</v>
      </c>
      <c r="E127" s="43" t="s">
        <v>622</v>
      </c>
      <c r="F127" s="43" t="s">
        <v>623</v>
      </c>
      <c r="G127" s="43">
        <v>3.49</v>
      </c>
      <c r="H127" s="43" t="s">
        <v>116</v>
      </c>
      <c r="I127" s="43" t="s">
        <v>117</v>
      </c>
      <c r="K127" s="43" t="s">
        <v>117</v>
      </c>
    </row>
    <row r="128" spans="1:11" x14ac:dyDescent="0.2">
      <c r="A128" s="43">
        <v>5816</v>
      </c>
      <c r="B128" s="43" t="s">
        <v>624</v>
      </c>
      <c r="C128" s="43" t="s">
        <v>625</v>
      </c>
      <c r="D128" s="43" t="s">
        <v>303</v>
      </c>
      <c r="E128" s="43" t="s">
        <v>626</v>
      </c>
      <c r="F128" s="43" t="s">
        <v>627</v>
      </c>
      <c r="G128" s="43">
        <v>2.27</v>
      </c>
      <c r="H128" s="43" t="s">
        <v>116</v>
      </c>
      <c r="I128" s="43" t="s">
        <v>117</v>
      </c>
      <c r="K128" s="43" t="s">
        <v>117</v>
      </c>
    </row>
    <row r="129" spans="1:11" x14ac:dyDescent="0.2">
      <c r="A129" s="43">
        <v>5906</v>
      </c>
      <c r="B129" s="43" t="s">
        <v>628</v>
      </c>
      <c r="C129" s="43" t="s">
        <v>629</v>
      </c>
      <c r="D129" s="43" t="s">
        <v>446</v>
      </c>
      <c r="E129" s="43" t="s">
        <v>630</v>
      </c>
      <c r="F129" s="43" t="s">
        <v>631</v>
      </c>
      <c r="G129" s="43">
        <v>2.5</v>
      </c>
      <c r="H129" s="43" t="s">
        <v>123</v>
      </c>
      <c r="I129" s="43" t="s">
        <v>117</v>
      </c>
      <c r="K129" s="43" t="s">
        <v>124</v>
      </c>
    </row>
    <row r="130" spans="1:11" x14ac:dyDescent="0.2">
      <c r="A130" s="43">
        <v>5921</v>
      </c>
      <c r="B130" s="43" t="s">
        <v>632</v>
      </c>
      <c r="C130" s="43" t="s">
        <v>633</v>
      </c>
      <c r="D130" s="43" t="s">
        <v>634</v>
      </c>
      <c r="E130" s="43" t="s">
        <v>635</v>
      </c>
      <c r="F130" s="43" t="s">
        <v>636</v>
      </c>
      <c r="G130" s="43">
        <v>2.25</v>
      </c>
      <c r="H130" s="43" t="s">
        <v>156</v>
      </c>
      <c r="I130" s="43" t="s">
        <v>117</v>
      </c>
      <c r="K130" s="43" t="s">
        <v>124</v>
      </c>
    </row>
    <row r="131" spans="1:11" x14ac:dyDescent="0.2">
      <c r="A131" s="43">
        <v>5982</v>
      </c>
      <c r="B131" s="43" t="s">
        <v>461</v>
      </c>
      <c r="C131" s="43" t="s">
        <v>637</v>
      </c>
      <c r="D131" s="43" t="s">
        <v>638</v>
      </c>
      <c r="E131" s="43" t="s">
        <v>639</v>
      </c>
      <c r="F131" s="43" t="s">
        <v>640</v>
      </c>
      <c r="G131" s="43">
        <v>3.39</v>
      </c>
      <c r="H131" s="43" t="s">
        <v>131</v>
      </c>
      <c r="I131" s="43" t="s">
        <v>117</v>
      </c>
      <c r="K131" s="43" t="s">
        <v>124</v>
      </c>
    </row>
    <row r="132" spans="1:11" x14ac:dyDescent="0.2">
      <c r="A132" s="43">
        <v>6020</v>
      </c>
      <c r="B132" s="43" t="s">
        <v>641</v>
      </c>
      <c r="C132" s="43" t="s">
        <v>642</v>
      </c>
      <c r="D132" s="43" t="s">
        <v>183</v>
      </c>
      <c r="E132" s="43" t="s">
        <v>643</v>
      </c>
      <c r="F132" s="43" t="s">
        <v>644</v>
      </c>
      <c r="G132" s="43">
        <v>2.09</v>
      </c>
      <c r="H132" s="43" t="s">
        <v>116</v>
      </c>
      <c r="I132" s="43" t="s">
        <v>117</v>
      </c>
      <c r="K132" s="43" t="s">
        <v>117</v>
      </c>
    </row>
    <row r="133" spans="1:11" x14ac:dyDescent="0.2">
      <c r="A133" s="43">
        <v>6029</v>
      </c>
      <c r="B133" s="43" t="s">
        <v>645</v>
      </c>
      <c r="C133" s="43" t="s">
        <v>646</v>
      </c>
      <c r="D133" s="43" t="s">
        <v>169</v>
      </c>
      <c r="E133" s="43" t="s">
        <v>647</v>
      </c>
      <c r="F133" s="43" t="s">
        <v>648</v>
      </c>
      <c r="G133" s="43">
        <v>2.84</v>
      </c>
      <c r="H133" s="43" t="s">
        <v>131</v>
      </c>
      <c r="I133" s="43" t="s">
        <v>117</v>
      </c>
      <c r="K133" s="43" t="s">
        <v>117</v>
      </c>
    </row>
    <row r="134" spans="1:11" x14ac:dyDescent="0.2">
      <c r="A134" s="43">
        <v>6108</v>
      </c>
      <c r="B134" s="43" t="s">
        <v>649</v>
      </c>
      <c r="C134" s="43" t="s">
        <v>650</v>
      </c>
      <c r="D134" s="43" t="s">
        <v>651</v>
      </c>
      <c r="E134" s="43" t="s">
        <v>652</v>
      </c>
      <c r="F134" s="43" t="s">
        <v>653</v>
      </c>
      <c r="G134" s="43">
        <v>3.71</v>
      </c>
      <c r="H134" s="43" t="s">
        <v>123</v>
      </c>
      <c r="I134" s="43" t="s">
        <v>124</v>
      </c>
      <c r="J134" s="43" t="s">
        <v>654</v>
      </c>
      <c r="K134" s="43" t="s">
        <v>117</v>
      </c>
    </row>
    <row r="135" spans="1:11" x14ac:dyDescent="0.2">
      <c r="A135" s="43">
        <v>6111</v>
      </c>
      <c r="B135" s="43" t="s">
        <v>605</v>
      </c>
      <c r="C135" s="43" t="s">
        <v>655</v>
      </c>
      <c r="D135" s="43" t="s">
        <v>656</v>
      </c>
      <c r="E135" s="43" t="s">
        <v>657</v>
      </c>
      <c r="F135" s="43" t="s">
        <v>658</v>
      </c>
      <c r="G135" s="43">
        <v>2.09</v>
      </c>
      <c r="H135" s="43" t="s">
        <v>131</v>
      </c>
      <c r="I135" s="43" t="s">
        <v>117</v>
      </c>
      <c r="K135" s="43" t="s">
        <v>117</v>
      </c>
    </row>
    <row r="136" spans="1:11" x14ac:dyDescent="0.2">
      <c r="A136" s="43">
        <v>6164</v>
      </c>
      <c r="B136" s="43" t="s">
        <v>659</v>
      </c>
      <c r="C136" s="43" t="s">
        <v>660</v>
      </c>
      <c r="D136" s="43" t="s">
        <v>235</v>
      </c>
      <c r="E136" s="43" t="s">
        <v>661</v>
      </c>
      <c r="F136" s="43" t="s">
        <v>662</v>
      </c>
      <c r="G136" s="43">
        <v>2.54</v>
      </c>
      <c r="H136" s="43" t="s">
        <v>156</v>
      </c>
      <c r="I136" s="43" t="s">
        <v>117</v>
      </c>
      <c r="K136" s="43" t="s">
        <v>124</v>
      </c>
    </row>
    <row r="137" spans="1:11" x14ac:dyDescent="0.2">
      <c r="A137" s="43">
        <v>6261</v>
      </c>
      <c r="B137" s="43" t="s">
        <v>663</v>
      </c>
      <c r="C137" s="43" t="s">
        <v>664</v>
      </c>
      <c r="D137" s="43" t="s">
        <v>159</v>
      </c>
      <c r="E137" s="43" t="s">
        <v>665</v>
      </c>
      <c r="F137" s="43" t="s">
        <v>666</v>
      </c>
      <c r="G137" s="43">
        <v>3.11</v>
      </c>
      <c r="H137" s="43" t="s">
        <v>123</v>
      </c>
      <c r="I137" s="43" t="s">
        <v>117</v>
      </c>
      <c r="K137" s="43" t="s">
        <v>117</v>
      </c>
    </row>
    <row r="138" spans="1:11" x14ac:dyDescent="0.2">
      <c r="A138" s="43">
        <v>6301</v>
      </c>
      <c r="B138" s="43" t="s">
        <v>667</v>
      </c>
      <c r="C138" s="43" t="s">
        <v>668</v>
      </c>
      <c r="D138" s="43" t="s">
        <v>188</v>
      </c>
      <c r="E138" s="43" t="s">
        <v>669</v>
      </c>
      <c r="F138" s="43" t="s">
        <v>670</v>
      </c>
      <c r="G138" s="43">
        <v>3.15</v>
      </c>
      <c r="H138" s="43" t="s">
        <v>156</v>
      </c>
      <c r="I138" s="43" t="s">
        <v>117</v>
      </c>
      <c r="K138" s="43" t="s">
        <v>124</v>
      </c>
    </row>
    <row r="139" spans="1:11" x14ac:dyDescent="0.2">
      <c r="A139" s="43">
        <v>6368</v>
      </c>
      <c r="B139" s="43" t="s">
        <v>671</v>
      </c>
      <c r="C139" s="43" t="s">
        <v>672</v>
      </c>
      <c r="D139" s="43" t="s">
        <v>149</v>
      </c>
      <c r="E139" s="43" t="s">
        <v>673</v>
      </c>
      <c r="F139" s="43" t="s">
        <v>674</v>
      </c>
      <c r="G139" s="43">
        <v>2.42</v>
      </c>
      <c r="H139" s="43" t="s">
        <v>116</v>
      </c>
      <c r="I139" s="43" t="s">
        <v>117</v>
      </c>
      <c r="K139" s="43" t="s">
        <v>117</v>
      </c>
    </row>
    <row r="140" spans="1:11" x14ac:dyDescent="0.2">
      <c r="A140" s="43">
        <v>6370</v>
      </c>
      <c r="B140" s="43" t="s">
        <v>675</v>
      </c>
      <c r="C140" s="43" t="s">
        <v>676</v>
      </c>
      <c r="D140" s="43" t="s">
        <v>144</v>
      </c>
      <c r="E140" s="43" t="s">
        <v>677</v>
      </c>
      <c r="F140" s="43" t="s">
        <v>678</v>
      </c>
      <c r="G140" s="43">
        <v>2.48</v>
      </c>
      <c r="H140" s="43" t="s">
        <v>116</v>
      </c>
      <c r="I140" s="43" t="s">
        <v>124</v>
      </c>
      <c r="J140" s="43" t="s">
        <v>296</v>
      </c>
      <c r="K140" s="43" t="s">
        <v>117</v>
      </c>
    </row>
    <row r="141" spans="1:11" x14ac:dyDescent="0.2">
      <c r="A141" s="43">
        <v>6385</v>
      </c>
      <c r="B141" s="43" t="s">
        <v>679</v>
      </c>
      <c r="C141" s="43" t="s">
        <v>680</v>
      </c>
      <c r="D141" s="43" t="s">
        <v>169</v>
      </c>
      <c r="E141" s="43" t="s">
        <v>681</v>
      </c>
      <c r="F141" s="43" t="s">
        <v>682</v>
      </c>
      <c r="G141" s="43">
        <v>2.88</v>
      </c>
      <c r="H141" s="43" t="s">
        <v>131</v>
      </c>
      <c r="I141" s="43" t="s">
        <v>117</v>
      </c>
      <c r="K141" s="43" t="s">
        <v>117</v>
      </c>
    </row>
    <row r="142" spans="1:11" x14ac:dyDescent="0.2">
      <c r="A142" s="43">
        <v>6509</v>
      </c>
      <c r="B142" s="43" t="s">
        <v>683</v>
      </c>
      <c r="C142" s="43" t="s">
        <v>684</v>
      </c>
      <c r="D142" s="43" t="s">
        <v>235</v>
      </c>
      <c r="E142" s="43" t="s">
        <v>685</v>
      </c>
      <c r="F142" s="43" t="s">
        <v>686</v>
      </c>
      <c r="G142" s="43">
        <v>3.06</v>
      </c>
      <c r="H142" s="43" t="s">
        <v>131</v>
      </c>
      <c r="I142" s="43" t="s">
        <v>124</v>
      </c>
      <c r="J142" s="43" t="s">
        <v>296</v>
      </c>
      <c r="K142" s="43" t="s">
        <v>117</v>
      </c>
    </row>
    <row r="143" spans="1:11" x14ac:dyDescent="0.2">
      <c r="A143" s="43">
        <v>6559</v>
      </c>
      <c r="B143" s="43" t="s">
        <v>687</v>
      </c>
      <c r="C143" s="43" t="s">
        <v>688</v>
      </c>
      <c r="D143" s="43" t="s">
        <v>689</v>
      </c>
      <c r="E143" s="43" t="s">
        <v>690</v>
      </c>
      <c r="F143" s="43" t="s">
        <v>691</v>
      </c>
      <c r="G143" s="43">
        <v>2.42</v>
      </c>
      <c r="H143" s="43" t="s">
        <v>131</v>
      </c>
      <c r="I143" s="43" t="s">
        <v>117</v>
      </c>
      <c r="K143" s="43" t="s">
        <v>124</v>
      </c>
    </row>
    <row r="144" spans="1:11" x14ac:dyDescent="0.2">
      <c r="A144" s="43">
        <v>6570</v>
      </c>
      <c r="B144" s="43" t="s">
        <v>692</v>
      </c>
      <c r="C144" s="43" t="s">
        <v>693</v>
      </c>
      <c r="D144" s="43" t="s">
        <v>267</v>
      </c>
      <c r="E144" s="43" t="s">
        <v>694</v>
      </c>
      <c r="F144" s="43" t="s">
        <v>695</v>
      </c>
      <c r="G144" s="43">
        <v>2.2200000000000002</v>
      </c>
      <c r="H144" s="43" t="s">
        <v>123</v>
      </c>
      <c r="I144" s="43" t="s">
        <v>117</v>
      </c>
      <c r="K144" s="43" t="s">
        <v>124</v>
      </c>
    </row>
    <row r="145" spans="1:11" x14ac:dyDescent="0.2">
      <c r="A145" s="43">
        <v>6674</v>
      </c>
      <c r="B145" s="43" t="s">
        <v>186</v>
      </c>
      <c r="C145" s="43" t="s">
        <v>696</v>
      </c>
      <c r="D145" s="43" t="s">
        <v>697</v>
      </c>
      <c r="E145" s="43" t="s">
        <v>698</v>
      </c>
      <c r="F145" s="43" t="s">
        <v>699</v>
      </c>
      <c r="G145" s="43">
        <v>2.95</v>
      </c>
      <c r="H145" s="43" t="s">
        <v>116</v>
      </c>
      <c r="I145" s="43" t="s">
        <v>117</v>
      </c>
      <c r="K145" s="43" t="s">
        <v>117</v>
      </c>
    </row>
    <row r="146" spans="1:11" x14ac:dyDescent="0.2">
      <c r="A146" s="43">
        <v>6849</v>
      </c>
      <c r="B146" s="43" t="s">
        <v>700</v>
      </c>
      <c r="C146" s="43" t="s">
        <v>701</v>
      </c>
      <c r="D146" s="43" t="s">
        <v>235</v>
      </c>
      <c r="E146" s="43" t="s">
        <v>702</v>
      </c>
      <c r="F146" s="43" t="s">
        <v>703</v>
      </c>
      <c r="G146" s="43">
        <v>2.78</v>
      </c>
      <c r="H146" s="43" t="s">
        <v>131</v>
      </c>
      <c r="I146" s="43" t="s">
        <v>117</v>
      </c>
      <c r="K146" s="43" t="s">
        <v>124</v>
      </c>
    </row>
    <row r="147" spans="1:11" x14ac:dyDescent="0.2">
      <c r="A147" s="43">
        <v>6929</v>
      </c>
      <c r="B147" s="43" t="s">
        <v>704</v>
      </c>
      <c r="C147" s="43" t="s">
        <v>705</v>
      </c>
      <c r="D147" s="43" t="s">
        <v>390</v>
      </c>
      <c r="E147" s="43" t="s">
        <v>706</v>
      </c>
      <c r="F147" s="43" t="s">
        <v>707</v>
      </c>
      <c r="G147" s="43">
        <v>2.63</v>
      </c>
      <c r="H147" s="43" t="s">
        <v>131</v>
      </c>
      <c r="I147" s="43" t="s">
        <v>117</v>
      </c>
      <c r="K147" s="43" t="s">
        <v>117</v>
      </c>
    </row>
    <row r="148" spans="1:11" x14ac:dyDescent="0.2">
      <c r="A148" s="43">
        <v>6937</v>
      </c>
      <c r="B148" s="43" t="s">
        <v>708</v>
      </c>
      <c r="C148" s="43" t="s">
        <v>709</v>
      </c>
      <c r="D148" s="43" t="s">
        <v>230</v>
      </c>
      <c r="E148" s="43" t="s">
        <v>710</v>
      </c>
      <c r="F148" s="43" t="s">
        <v>711</v>
      </c>
      <c r="G148" s="43">
        <v>3.9</v>
      </c>
      <c r="H148" s="43" t="s">
        <v>131</v>
      </c>
      <c r="I148" s="43" t="s">
        <v>124</v>
      </c>
      <c r="J148" s="43" t="s">
        <v>469</v>
      </c>
      <c r="K148" s="43" t="s">
        <v>117</v>
      </c>
    </row>
    <row r="149" spans="1:11" x14ac:dyDescent="0.2">
      <c r="A149" s="43">
        <v>7028</v>
      </c>
      <c r="B149" s="43" t="s">
        <v>712</v>
      </c>
      <c r="C149" s="43" t="s">
        <v>713</v>
      </c>
      <c r="D149" s="43" t="s">
        <v>128</v>
      </c>
      <c r="E149" s="43" t="s">
        <v>714</v>
      </c>
      <c r="F149" s="43" t="s">
        <v>715</v>
      </c>
      <c r="G149" s="43">
        <v>3.84</v>
      </c>
      <c r="H149" s="43" t="s">
        <v>131</v>
      </c>
      <c r="I149" s="43" t="s">
        <v>117</v>
      </c>
      <c r="K149" s="43" t="s">
        <v>124</v>
      </c>
    </row>
    <row r="150" spans="1:11" x14ac:dyDescent="0.2">
      <c r="A150" s="43">
        <v>7193</v>
      </c>
      <c r="B150" s="43" t="s">
        <v>716</v>
      </c>
      <c r="C150" s="43" t="s">
        <v>717</v>
      </c>
      <c r="D150" s="43" t="s">
        <v>656</v>
      </c>
      <c r="E150" s="43" t="s">
        <v>718</v>
      </c>
      <c r="F150" s="43" t="s">
        <v>719</v>
      </c>
      <c r="G150" s="43">
        <v>3.75</v>
      </c>
      <c r="H150" s="43" t="s">
        <v>123</v>
      </c>
      <c r="I150" s="43" t="s">
        <v>117</v>
      </c>
      <c r="K150" s="43" t="s">
        <v>124</v>
      </c>
    </row>
    <row r="151" spans="1:11" x14ac:dyDescent="0.2">
      <c r="A151" s="43">
        <v>7207</v>
      </c>
      <c r="B151" s="43" t="s">
        <v>720</v>
      </c>
      <c r="C151" s="43" t="s">
        <v>721</v>
      </c>
      <c r="D151" s="43" t="s">
        <v>149</v>
      </c>
      <c r="E151" s="43" t="s">
        <v>722</v>
      </c>
      <c r="F151" s="43" t="s">
        <v>723</v>
      </c>
      <c r="G151" s="43">
        <v>2.66</v>
      </c>
      <c r="H151" s="43" t="s">
        <v>156</v>
      </c>
      <c r="I151" s="43" t="s">
        <v>117</v>
      </c>
      <c r="K151" s="43" t="s">
        <v>117</v>
      </c>
    </row>
    <row r="152" spans="1:11" x14ac:dyDescent="0.2">
      <c r="A152" s="43">
        <v>7275</v>
      </c>
      <c r="B152" s="43" t="s">
        <v>724</v>
      </c>
      <c r="C152" s="43" t="s">
        <v>725</v>
      </c>
      <c r="D152" s="43" t="s">
        <v>144</v>
      </c>
      <c r="E152" s="43" t="s">
        <v>726</v>
      </c>
      <c r="F152" s="43" t="s">
        <v>727</v>
      </c>
      <c r="G152" s="43">
        <v>2.06</v>
      </c>
      <c r="H152" s="43" t="s">
        <v>116</v>
      </c>
      <c r="I152" s="43" t="s">
        <v>117</v>
      </c>
      <c r="K152" s="43" t="s">
        <v>124</v>
      </c>
    </row>
    <row r="153" spans="1:11" x14ac:dyDescent="0.2">
      <c r="A153" s="43">
        <v>7294</v>
      </c>
      <c r="B153" s="43" t="s">
        <v>728</v>
      </c>
      <c r="C153" s="43" t="s">
        <v>729</v>
      </c>
      <c r="D153" s="43" t="s">
        <v>169</v>
      </c>
      <c r="E153" s="43" t="s">
        <v>730</v>
      </c>
      <c r="F153" s="43" t="s">
        <v>731</v>
      </c>
      <c r="G153" s="43">
        <v>3.88</v>
      </c>
      <c r="H153" s="43" t="s">
        <v>116</v>
      </c>
      <c r="I153" s="43" t="s">
        <v>117</v>
      </c>
      <c r="K153" s="43" t="s">
        <v>124</v>
      </c>
    </row>
    <row r="154" spans="1:11" x14ac:dyDescent="0.2">
      <c r="A154" s="43">
        <v>7299</v>
      </c>
      <c r="B154" s="43" t="s">
        <v>401</v>
      </c>
      <c r="C154" s="43" t="s">
        <v>732</v>
      </c>
      <c r="D154" s="43" t="s">
        <v>208</v>
      </c>
      <c r="E154" s="43" t="s">
        <v>733</v>
      </c>
      <c r="F154" s="43" t="s">
        <v>734</v>
      </c>
      <c r="G154" s="43">
        <v>2.2599999999999998</v>
      </c>
      <c r="H154" s="43" t="s">
        <v>123</v>
      </c>
      <c r="I154" s="43" t="s">
        <v>117</v>
      </c>
      <c r="K154" s="43" t="s">
        <v>117</v>
      </c>
    </row>
    <row r="155" spans="1:11" x14ac:dyDescent="0.2">
      <c r="A155" s="43">
        <v>7371</v>
      </c>
      <c r="B155" s="43" t="s">
        <v>265</v>
      </c>
      <c r="C155" s="43" t="s">
        <v>735</v>
      </c>
      <c r="D155" s="43" t="s">
        <v>390</v>
      </c>
      <c r="E155" s="43" t="s">
        <v>736</v>
      </c>
      <c r="F155" s="43" t="s">
        <v>737</v>
      </c>
      <c r="G155" s="43">
        <v>2.98</v>
      </c>
      <c r="H155" s="43" t="s">
        <v>156</v>
      </c>
      <c r="I155" s="43" t="s">
        <v>117</v>
      </c>
      <c r="K155" s="43" t="s">
        <v>117</v>
      </c>
    </row>
    <row r="156" spans="1:11" x14ac:dyDescent="0.2">
      <c r="A156" s="43">
        <v>7420</v>
      </c>
      <c r="B156" s="43" t="s">
        <v>738</v>
      </c>
      <c r="C156" s="43" t="s">
        <v>739</v>
      </c>
      <c r="D156" s="43" t="s">
        <v>208</v>
      </c>
      <c r="E156" s="43" t="s">
        <v>740</v>
      </c>
      <c r="F156" s="43" t="s">
        <v>741</v>
      </c>
      <c r="G156" s="43">
        <v>3.65</v>
      </c>
      <c r="H156" s="43" t="s">
        <v>123</v>
      </c>
      <c r="I156" s="43" t="s">
        <v>117</v>
      </c>
      <c r="K156" s="43" t="s">
        <v>124</v>
      </c>
    </row>
    <row r="157" spans="1:11" x14ac:dyDescent="0.2">
      <c r="A157" s="43">
        <v>7501</v>
      </c>
      <c r="B157" s="43" t="s">
        <v>742</v>
      </c>
      <c r="C157" s="43" t="s">
        <v>743</v>
      </c>
      <c r="D157" s="43" t="s">
        <v>208</v>
      </c>
      <c r="E157" s="43" t="s">
        <v>744</v>
      </c>
      <c r="F157" s="43" t="s">
        <v>745</v>
      </c>
      <c r="G157" s="43">
        <v>3.47</v>
      </c>
      <c r="H157" s="43" t="s">
        <v>131</v>
      </c>
      <c r="I157" s="43" t="s">
        <v>117</v>
      </c>
      <c r="K157" s="43" t="s">
        <v>124</v>
      </c>
    </row>
    <row r="158" spans="1:11" x14ac:dyDescent="0.2">
      <c r="A158" s="43">
        <v>7567</v>
      </c>
      <c r="B158" s="43" t="s">
        <v>746</v>
      </c>
      <c r="C158" s="43" t="s">
        <v>747</v>
      </c>
      <c r="D158" s="43" t="s">
        <v>748</v>
      </c>
      <c r="E158" s="43" t="s">
        <v>749</v>
      </c>
      <c r="F158" s="43" t="s">
        <v>750</v>
      </c>
      <c r="G158" s="43">
        <v>2.4500000000000002</v>
      </c>
      <c r="H158" s="43" t="s">
        <v>156</v>
      </c>
      <c r="I158" s="43" t="s">
        <v>117</v>
      </c>
      <c r="K158" s="43" t="s">
        <v>124</v>
      </c>
    </row>
    <row r="159" spans="1:11" x14ac:dyDescent="0.2">
      <c r="A159" s="43">
        <v>7582</v>
      </c>
      <c r="B159" s="43" t="s">
        <v>751</v>
      </c>
      <c r="C159" s="43" t="s">
        <v>752</v>
      </c>
      <c r="D159" s="43" t="s">
        <v>144</v>
      </c>
      <c r="E159" s="43" t="s">
        <v>753</v>
      </c>
      <c r="F159" s="43" t="s">
        <v>754</v>
      </c>
      <c r="G159" s="43">
        <v>2.52</v>
      </c>
      <c r="H159" s="43" t="s">
        <v>123</v>
      </c>
      <c r="I159" s="43" t="s">
        <v>124</v>
      </c>
      <c r="J159" s="43" t="s">
        <v>191</v>
      </c>
      <c r="K159" s="43" t="s">
        <v>124</v>
      </c>
    </row>
    <row r="160" spans="1:11" x14ac:dyDescent="0.2">
      <c r="A160" s="43">
        <v>7591</v>
      </c>
      <c r="B160" s="43" t="s">
        <v>755</v>
      </c>
      <c r="C160" s="43" t="s">
        <v>756</v>
      </c>
      <c r="D160" s="43" t="s">
        <v>230</v>
      </c>
      <c r="E160" s="43" t="s">
        <v>757</v>
      </c>
      <c r="F160" s="43" t="s">
        <v>758</v>
      </c>
      <c r="G160" s="43">
        <v>3.35</v>
      </c>
      <c r="H160" s="43" t="s">
        <v>123</v>
      </c>
      <c r="I160" s="43" t="s">
        <v>124</v>
      </c>
      <c r="J160" s="43" t="s">
        <v>270</v>
      </c>
      <c r="K160" s="43" t="s">
        <v>117</v>
      </c>
    </row>
    <row r="161" spans="1:11" x14ac:dyDescent="0.2">
      <c r="A161" s="43">
        <v>7659</v>
      </c>
      <c r="B161" s="43" t="s">
        <v>572</v>
      </c>
      <c r="C161" s="43" t="s">
        <v>759</v>
      </c>
      <c r="D161" s="43" t="s">
        <v>446</v>
      </c>
      <c r="E161" s="43" t="s">
        <v>760</v>
      </c>
      <c r="F161" s="43" t="s">
        <v>761</v>
      </c>
      <c r="G161" s="43">
        <v>3.36</v>
      </c>
      <c r="H161" s="43" t="s">
        <v>123</v>
      </c>
      <c r="I161" s="43" t="s">
        <v>117</v>
      </c>
      <c r="K161" s="43" t="s">
        <v>124</v>
      </c>
    </row>
    <row r="162" spans="1:11" x14ac:dyDescent="0.2">
      <c r="A162" s="43">
        <v>7769</v>
      </c>
      <c r="B162" s="43" t="s">
        <v>762</v>
      </c>
      <c r="C162" s="43" t="s">
        <v>763</v>
      </c>
      <c r="D162" s="43" t="s">
        <v>254</v>
      </c>
      <c r="E162" s="43" t="s">
        <v>764</v>
      </c>
      <c r="F162" s="43" t="s">
        <v>765</v>
      </c>
      <c r="G162" s="43">
        <v>2.37</v>
      </c>
      <c r="H162" s="43" t="s">
        <v>116</v>
      </c>
      <c r="I162" s="43" t="s">
        <v>117</v>
      </c>
      <c r="K162" s="43" t="s">
        <v>117</v>
      </c>
    </row>
    <row r="163" spans="1:11" x14ac:dyDescent="0.2">
      <c r="A163" s="43">
        <v>7834</v>
      </c>
      <c r="B163" s="43" t="s">
        <v>766</v>
      </c>
      <c r="C163" s="43" t="s">
        <v>767</v>
      </c>
      <c r="D163" s="43" t="s">
        <v>523</v>
      </c>
      <c r="E163" s="43" t="s">
        <v>768</v>
      </c>
      <c r="F163" s="43" t="s">
        <v>769</v>
      </c>
      <c r="G163" s="43">
        <v>3.71</v>
      </c>
      <c r="H163" s="43" t="s">
        <v>123</v>
      </c>
      <c r="I163" s="43" t="s">
        <v>117</v>
      </c>
      <c r="K163" s="43" t="s">
        <v>124</v>
      </c>
    </row>
    <row r="164" spans="1:11" x14ac:dyDescent="0.2">
      <c r="A164" s="43">
        <v>7898</v>
      </c>
      <c r="B164" s="43" t="s">
        <v>770</v>
      </c>
      <c r="C164" s="43" t="s">
        <v>771</v>
      </c>
      <c r="D164" s="43" t="s">
        <v>267</v>
      </c>
      <c r="E164" s="43" t="s">
        <v>772</v>
      </c>
      <c r="F164" s="43" t="s">
        <v>773</v>
      </c>
      <c r="G164" s="43">
        <v>3.05</v>
      </c>
      <c r="H164" s="43" t="s">
        <v>131</v>
      </c>
      <c r="I164" s="43" t="s">
        <v>117</v>
      </c>
      <c r="K164" s="43" t="s">
        <v>117</v>
      </c>
    </row>
    <row r="165" spans="1:11" x14ac:dyDescent="0.2">
      <c r="A165" s="43">
        <v>7913</v>
      </c>
      <c r="B165" s="43" t="s">
        <v>774</v>
      </c>
      <c r="C165" s="43" t="s">
        <v>775</v>
      </c>
      <c r="D165" s="43" t="s">
        <v>591</v>
      </c>
      <c r="E165" s="43" t="s">
        <v>776</v>
      </c>
      <c r="F165" s="43" t="s">
        <v>777</v>
      </c>
      <c r="G165" s="43">
        <v>3.38</v>
      </c>
      <c r="H165" s="43" t="s">
        <v>123</v>
      </c>
      <c r="I165" s="43" t="s">
        <v>117</v>
      </c>
      <c r="K165" s="43" t="s">
        <v>117</v>
      </c>
    </row>
    <row r="166" spans="1:11" x14ac:dyDescent="0.2">
      <c r="A166" s="43">
        <v>7918</v>
      </c>
      <c r="B166" s="43" t="s">
        <v>778</v>
      </c>
      <c r="C166" s="43" t="s">
        <v>779</v>
      </c>
      <c r="D166" s="43" t="s">
        <v>113</v>
      </c>
      <c r="E166" s="43" t="s">
        <v>780</v>
      </c>
      <c r="F166" s="43" t="s">
        <v>781</v>
      </c>
      <c r="G166" s="43">
        <v>2.96</v>
      </c>
      <c r="H166" s="43" t="s">
        <v>156</v>
      </c>
      <c r="I166" s="43" t="s">
        <v>117</v>
      </c>
      <c r="K166" s="43" t="s">
        <v>117</v>
      </c>
    </row>
    <row r="167" spans="1:11" x14ac:dyDescent="0.2">
      <c r="A167" s="43">
        <v>7986</v>
      </c>
      <c r="B167" s="43" t="s">
        <v>782</v>
      </c>
      <c r="C167" s="43" t="s">
        <v>783</v>
      </c>
      <c r="D167" s="43" t="s">
        <v>113</v>
      </c>
      <c r="E167" s="43" t="s">
        <v>784</v>
      </c>
      <c r="F167" s="43" t="s">
        <v>785</v>
      </c>
      <c r="G167" s="43">
        <v>3.98</v>
      </c>
      <c r="H167" s="43" t="s">
        <v>131</v>
      </c>
      <c r="I167" s="43" t="s">
        <v>124</v>
      </c>
      <c r="J167" s="43" t="s">
        <v>323</v>
      </c>
      <c r="K167" s="43" t="s">
        <v>124</v>
      </c>
    </row>
    <row r="168" spans="1:11" x14ac:dyDescent="0.2">
      <c r="A168" s="43">
        <v>8075</v>
      </c>
      <c r="B168" s="43" t="s">
        <v>786</v>
      </c>
      <c r="C168" s="43" t="s">
        <v>787</v>
      </c>
      <c r="D168" s="43" t="s">
        <v>230</v>
      </c>
      <c r="E168" s="43" t="s">
        <v>788</v>
      </c>
      <c r="F168" s="43" t="s">
        <v>789</v>
      </c>
      <c r="G168" s="43">
        <v>3.6</v>
      </c>
      <c r="H168" s="43" t="s">
        <v>156</v>
      </c>
      <c r="I168" s="43" t="s">
        <v>117</v>
      </c>
      <c r="K168" s="43" t="s">
        <v>124</v>
      </c>
    </row>
    <row r="169" spans="1:11" x14ac:dyDescent="0.2">
      <c r="A169" s="43">
        <v>8132</v>
      </c>
      <c r="B169" s="43" t="s">
        <v>345</v>
      </c>
      <c r="C169" s="43" t="s">
        <v>790</v>
      </c>
      <c r="D169" s="43" t="s">
        <v>120</v>
      </c>
      <c r="E169" s="43" t="s">
        <v>791</v>
      </c>
      <c r="F169" s="43" t="s">
        <v>792</v>
      </c>
      <c r="G169" s="43">
        <v>2.1800000000000002</v>
      </c>
      <c r="H169" s="43" t="s">
        <v>156</v>
      </c>
      <c r="I169" s="43" t="s">
        <v>124</v>
      </c>
      <c r="J169" s="43" t="s">
        <v>793</v>
      </c>
      <c r="K169" s="43" t="s">
        <v>117</v>
      </c>
    </row>
    <row r="170" spans="1:11" x14ac:dyDescent="0.2">
      <c r="A170" s="43">
        <v>8200</v>
      </c>
      <c r="B170" s="43" t="s">
        <v>794</v>
      </c>
      <c r="C170" s="43" t="s">
        <v>795</v>
      </c>
      <c r="D170" s="43" t="s">
        <v>523</v>
      </c>
      <c r="E170" s="43" t="s">
        <v>796</v>
      </c>
      <c r="F170" s="43" t="s">
        <v>797</v>
      </c>
      <c r="G170" s="43">
        <v>2.4</v>
      </c>
      <c r="H170" s="43" t="s">
        <v>131</v>
      </c>
      <c r="I170" s="43" t="s">
        <v>124</v>
      </c>
      <c r="J170" s="43" t="s">
        <v>318</v>
      </c>
      <c r="K170" s="43" t="s">
        <v>124</v>
      </c>
    </row>
    <row r="171" spans="1:11" x14ac:dyDescent="0.2">
      <c r="A171" s="43">
        <v>8320</v>
      </c>
      <c r="B171" s="43" t="s">
        <v>798</v>
      </c>
      <c r="C171" s="43" t="s">
        <v>799</v>
      </c>
      <c r="D171" s="43" t="s">
        <v>800</v>
      </c>
      <c r="E171" s="43" t="s">
        <v>801</v>
      </c>
      <c r="F171" s="43" t="s">
        <v>802</v>
      </c>
      <c r="G171" s="43">
        <v>3.1</v>
      </c>
      <c r="H171" s="43" t="s">
        <v>123</v>
      </c>
      <c r="I171" s="43" t="s">
        <v>117</v>
      </c>
      <c r="K171" s="43" t="s">
        <v>117</v>
      </c>
    </row>
    <row r="172" spans="1:11" x14ac:dyDescent="0.2">
      <c r="A172" s="43">
        <v>8323</v>
      </c>
      <c r="B172" s="43" t="s">
        <v>803</v>
      </c>
      <c r="C172" s="43" t="s">
        <v>804</v>
      </c>
      <c r="D172" s="43" t="s">
        <v>120</v>
      </c>
      <c r="E172" s="43" t="s">
        <v>805</v>
      </c>
      <c r="F172" s="43" t="s">
        <v>806</v>
      </c>
      <c r="G172" s="43">
        <v>3.78</v>
      </c>
      <c r="H172" s="43" t="s">
        <v>116</v>
      </c>
      <c r="I172" s="43" t="s">
        <v>117</v>
      </c>
      <c r="K172" s="43" t="s">
        <v>124</v>
      </c>
    </row>
    <row r="173" spans="1:11" x14ac:dyDescent="0.2">
      <c r="A173" s="43">
        <v>8340</v>
      </c>
      <c r="B173" s="43" t="s">
        <v>807</v>
      </c>
      <c r="C173" s="43" t="s">
        <v>808</v>
      </c>
      <c r="D173" s="43" t="s">
        <v>326</v>
      </c>
      <c r="E173" s="43" t="s">
        <v>809</v>
      </c>
      <c r="F173" s="43" t="s">
        <v>810</v>
      </c>
      <c r="G173" s="43">
        <v>3.27</v>
      </c>
      <c r="H173" s="43" t="s">
        <v>116</v>
      </c>
      <c r="I173" s="43" t="s">
        <v>117</v>
      </c>
      <c r="K173" s="43" t="s">
        <v>117</v>
      </c>
    </row>
    <row r="174" spans="1:11" x14ac:dyDescent="0.2">
      <c r="A174" s="43">
        <v>8350</v>
      </c>
      <c r="B174" s="43" t="s">
        <v>811</v>
      </c>
      <c r="C174" s="43" t="s">
        <v>812</v>
      </c>
      <c r="D174" s="43" t="s">
        <v>351</v>
      </c>
      <c r="E174" s="43" t="s">
        <v>813</v>
      </c>
      <c r="F174" s="43" t="s">
        <v>814</v>
      </c>
      <c r="G174" s="43">
        <v>3.16</v>
      </c>
      <c r="H174" s="43" t="s">
        <v>156</v>
      </c>
      <c r="I174" s="43" t="s">
        <v>117</v>
      </c>
      <c r="K174" s="43" t="s">
        <v>117</v>
      </c>
    </row>
    <row r="175" spans="1:11" x14ac:dyDescent="0.2">
      <c r="A175" s="43">
        <v>8409</v>
      </c>
      <c r="B175" s="43" t="s">
        <v>815</v>
      </c>
      <c r="C175" s="43" t="s">
        <v>816</v>
      </c>
      <c r="D175" s="43" t="s">
        <v>485</v>
      </c>
      <c r="E175" s="43" t="s">
        <v>817</v>
      </c>
      <c r="F175" s="43" t="s">
        <v>818</v>
      </c>
      <c r="G175" s="43">
        <v>2.2200000000000002</v>
      </c>
      <c r="H175" s="43" t="s">
        <v>116</v>
      </c>
      <c r="I175" s="43" t="s">
        <v>124</v>
      </c>
      <c r="J175" s="43" t="s">
        <v>191</v>
      </c>
      <c r="K175" s="43" t="s">
        <v>124</v>
      </c>
    </row>
    <row r="176" spans="1:11" x14ac:dyDescent="0.2">
      <c r="A176" s="43">
        <v>8436</v>
      </c>
      <c r="B176" s="43" t="s">
        <v>819</v>
      </c>
      <c r="C176" s="43" t="s">
        <v>820</v>
      </c>
      <c r="D176" s="43" t="s">
        <v>194</v>
      </c>
      <c r="E176" s="43" t="s">
        <v>821</v>
      </c>
      <c r="F176" s="43" t="s">
        <v>822</v>
      </c>
      <c r="G176" s="43">
        <v>3.13</v>
      </c>
      <c r="H176" s="43" t="s">
        <v>131</v>
      </c>
      <c r="I176" s="43" t="s">
        <v>117</v>
      </c>
      <c r="K176" s="43" t="s">
        <v>117</v>
      </c>
    </row>
    <row r="177" spans="1:11" x14ac:dyDescent="0.2">
      <c r="A177" s="43">
        <v>8493</v>
      </c>
      <c r="B177" s="43" t="s">
        <v>823</v>
      </c>
      <c r="C177" s="43" t="s">
        <v>824</v>
      </c>
      <c r="D177" s="43" t="s">
        <v>159</v>
      </c>
      <c r="E177" s="43" t="s">
        <v>825</v>
      </c>
      <c r="F177" s="43" t="s">
        <v>826</v>
      </c>
      <c r="G177" s="43">
        <v>3.7</v>
      </c>
      <c r="H177" s="43" t="s">
        <v>131</v>
      </c>
      <c r="I177" s="43" t="s">
        <v>117</v>
      </c>
      <c r="K177" s="43" t="s">
        <v>124</v>
      </c>
    </row>
    <row r="178" spans="1:11" x14ac:dyDescent="0.2">
      <c r="A178" s="43">
        <v>8495</v>
      </c>
      <c r="B178" s="43" t="s">
        <v>827</v>
      </c>
      <c r="C178" s="43" t="s">
        <v>828</v>
      </c>
      <c r="D178" s="43" t="s">
        <v>390</v>
      </c>
      <c r="E178" s="43" t="s">
        <v>829</v>
      </c>
      <c r="F178" s="43" t="s">
        <v>830</v>
      </c>
      <c r="G178" s="43">
        <v>3.7</v>
      </c>
      <c r="H178" s="43" t="s">
        <v>123</v>
      </c>
      <c r="I178" s="43" t="s">
        <v>117</v>
      </c>
      <c r="K178" s="43" t="s">
        <v>117</v>
      </c>
    </row>
    <row r="179" spans="1:11" x14ac:dyDescent="0.2">
      <c r="A179" s="43">
        <v>8595</v>
      </c>
      <c r="B179" s="43" t="s">
        <v>831</v>
      </c>
      <c r="C179" s="43" t="s">
        <v>832</v>
      </c>
      <c r="D179" s="43" t="s">
        <v>254</v>
      </c>
      <c r="E179" s="43" t="s">
        <v>833</v>
      </c>
      <c r="F179" s="43" t="s">
        <v>834</v>
      </c>
      <c r="G179" s="43">
        <v>2.15</v>
      </c>
      <c r="H179" s="43" t="s">
        <v>123</v>
      </c>
      <c r="I179" s="43" t="s">
        <v>117</v>
      </c>
      <c r="K179" s="43" t="s">
        <v>124</v>
      </c>
    </row>
    <row r="180" spans="1:11" x14ac:dyDescent="0.2">
      <c r="A180" s="43">
        <v>8609</v>
      </c>
      <c r="B180" s="43" t="s">
        <v>683</v>
      </c>
      <c r="C180" s="43" t="s">
        <v>835</v>
      </c>
      <c r="D180" s="43" t="s">
        <v>128</v>
      </c>
      <c r="E180" s="43" t="s">
        <v>836</v>
      </c>
      <c r="F180" s="43" t="s">
        <v>837</v>
      </c>
      <c r="G180" s="43">
        <v>2.5499999999999998</v>
      </c>
      <c r="H180" s="43" t="s">
        <v>131</v>
      </c>
      <c r="I180" s="43" t="s">
        <v>117</v>
      </c>
      <c r="K180" s="43" t="s">
        <v>124</v>
      </c>
    </row>
    <row r="181" spans="1:11" x14ac:dyDescent="0.2">
      <c r="A181" s="43">
        <v>8615</v>
      </c>
      <c r="B181" s="43" t="s">
        <v>838</v>
      </c>
      <c r="C181" s="43" t="s">
        <v>839</v>
      </c>
      <c r="D181" s="43" t="s">
        <v>656</v>
      </c>
      <c r="E181" s="43" t="s">
        <v>840</v>
      </c>
      <c r="F181" s="43" t="s">
        <v>841</v>
      </c>
      <c r="G181" s="43">
        <v>3.54</v>
      </c>
      <c r="H181" s="43" t="s">
        <v>131</v>
      </c>
      <c r="I181" s="43" t="s">
        <v>117</v>
      </c>
      <c r="K181" s="43" t="s">
        <v>117</v>
      </c>
    </row>
    <row r="182" spans="1:11" x14ac:dyDescent="0.2">
      <c r="A182" s="43">
        <v>8625</v>
      </c>
      <c r="B182" s="43" t="s">
        <v>842</v>
      </c>
      <c r="C182" s="43" t="s">
        <v>843</v>
      </c>
      <c r="D182" s="43" t="s">
        <v>159</v>
      </c>
      <c r="E182" s="43" t="s">
        <v>844</v>
      </c>
      <c r="F182" s="43" t="s">
        <v>845</v>
      </c>
      <c r="G182" s="43">
        <v>2.37</v>
      </c>
      <c r="H182" s="43" t="s">
        <v>123</v>
      </c>
      <c r="I182" s="43" t="s">
        <v>117</v>
      </c>
      <c r="K182" s="43" t="s">
        <v>117</v>
      </c>
    </row>
    <row r="183" spans="1:11" x14ac:dyDescent="0.2">
      <c r="A183" s="43">
        <v>8740</v>
      </c>
      <c r="B183" s="43" t="s">
        <v>846</v>
      </c>
      <c r="C183" s="43" t="s">
        <v>847</v>
      </c>
      <c r="D183" s="43" t="s">
        <v>183</v>
      </c>
      <c r="E183" s="43" t="s">
        <v>848</v>
      </c>
      <c r="F183" s="43" t="s">
        <v>849</v>
      </c>
      <c r="G183" s="43">
        <v>3.94</v>
      </c>
      <c r="H183" s="43" t="s">
        <v>131</v>
      </c>
      <c r="I183" s="43" t="s">
        <v>117</v>
      </c>
      <c r="K183" s="43" t="s">
        <v>117</v>
      </c>
    </row>
    <row r="184" spans="1:11" x14ac:dyDescent="0.2">
      <c r="A184" s="43">
        <v>8790</v>
      </c>
      <c r="B184" s="43" t="s">
        <v>850</v>
      </c>
      <c r="C184" s="43" t="s">
        <v>851</v>
      </c>
      <c r="D184" s="43" t="s">
        <v>638</v>
      </c>
      <c r="E184" s="43" t="s">
        <v>852</v>
      </c>
      <c r="F184" s="43" t="s">
        <v>853</v>
      </c>
      <c r="G184" s="43">
        <v>3.97</v>
      </c>
      <c r="H184" s="43" t="s">
        <v>123</v>
      </c>
      <c r="I184" s="43" t="s">
        <v>117</v>
      </c>
      <c r="K184" s="43" t="s">
        <v>117</v>
      </c>
    </row>
    <row r="185" spans="1:11" x14ac:dyDescent="0.2">
      <c r="A185" s="43">
        <v>8819</v>
      </c>
      <c r="B185" s="43" t="s">
        <v>854</v>
      </c>
      <c r="C185" s="43" t="s">
        <v>855</v>
      </c>
      <c r="D185" s="43" t="s">
        <v>390</v>
      </c>
      <c r="E185" s="43" t="s">
        <v>856</v>
      </c>
      <c r="F185" s="43" t="s">
        <v>857</v>
      </c>
      <c r="G185" s="43">
        <v>3.4</v>
      </c>
      <c r="H185" s="43" t="s">
        <v>156</v>
      </c>
      <c r="I185" s="43" t="s">
        <v>117</v>
      </c>
      <c r="K185" s="43" t="s">
        <v>124</v>
      </c>
    </row>
    <row r="186" spans="1:11" x14ac:dyDescent="0.2">
      <c r="A186" s="43">
        <v>8835</v>
      </c>
      <c r="B186" s="43" t="s">
        <v>858</v>
      </c>
      <c r="C186" s="43" t="s">
        <v>859</v>
      </c>
      <c r="D186" s="43" t="s">
        <v>178</v>
      </c>
      <c r="E186" s="43" t="s">
        <v>860</v>
      </c>
      <c r="F186" s="43" t="s">
        <v>861</v>
      </c>
      <c r="G186" s="43">
        <v>3.09</v>
      </c>
      <c r="H186" s="43" t="s">
        <v>131</v>
      </c>
      <c r="I186" s="43" t="s">
        <v>117</v>
      </c>
      <c r="K186" s="43" t="s">
        <v>117</v>
      </c>
    </row>
    <row r="187" spans="1:11" x14ac:dyDescent="0.2">
      <c r="A187" s="43">
        <v>8884</v>
      </c>
      <c r="B187" s="43" t="s">
        <v>862</v>
      </c>
      <c r="C187" s="43" t="s">
        <v>863</v>
      </c>
      <c r="D187" s="43" t="s">
        <v>230</v>
      </c>
      <c r="E187" s="43" t="s">
        <v>864</v>
      </c>
      <c r="F187" s="43" t="s">
        <v>865</v>
      </c>
      <c r="G187" s="43">
        <v>2.2200000000000002</v>
      </c>
      <c r="H187" s="43" t="s">
        <v>116</v>
      </c>
      <c r="I187" s="43" t="s">
        <v>117</v>
      </c>
      <c r="K187" s="43" t="s">
        <v>124</v>
      </c>
    </row>
    <row r="188" spans="1:11" x14ac:dyDescent="0.2">
      <c r="A188" s="43">
        <v>8896</v>
      </c>
      <c r="B188" s="43" t="s">
        <v>501</v>
      </c>
      <c r="C188" s="43" t="s">
        <v>688</v>
      </c>
      <c r="D188" s="43" t="s">
        <v>326</v>
      </c>
      <c r="E188" s="43" t="s">
        <v>866</v>
      </c>
      <c r="F188" s="43" t="s">
        <v>867</v>
      </c>
      <c r="G188" s="43">
        <v>3.96</v>
      </c>
      <c r="H188" s="43" t="s">
        <v>131</v>
      </c>
      <c r="I188" s="43" t="s">
        <v>124</v>
      </c>
      <c r="J188" s="43" t="s">
        <v>868</v>
      </c>
      <c r="K188" s="43" t="s">
        <v>117</v>
      </c>
    </row>
    <row r="189" spans="1:11" x14ac:dyDescent="0.2">
      <c r="A189" s="43">
        <v>8907</v>
      </c>
      <c r="B189" s="43" t="s">
        <v>601</v>
      </c>
      <c r="C189" s="43" t="s">
        <v>869</v>
      </c>
      <c r="D189" s="43" t="s">
        <v>144</v>
      </c>
      <c r="E189" s="43" t="s">
        <v>870</v>
      </c>
      <c r="F189" s="43" t="s">
        <v>871</v>
      </c>
      <c r="G189" s="43">
        <v>2.67</v>
      </c>
      <c r="H189" s="43" t="s">
        <v>131</v>
      </c>
      <c r="I189" s="43" t="s">
        <v>117</v>
      </c>
      <c r="K189" s="43" t="s">
        <v>124</v>
      </c>
    </row>
    <row r="190" spans="1:11" x14ac:dyDescent="0.2">
      <c r="A190" s="43">
        <v>8959</v>
      </c>
      <c r="B190" s="43" t="s">
        <v>50</v>
      </c>
      <c r="C190" s="43" t="s">
        <v>872</v>
      </c>
      <c r="D190" s="43" t="s">
        <v>113</v>
      </c>
      <c r="E190" s="43" t="s">
        <v>873</v>
      </c>
      <c r="F190" s="43" t="s">
        <v>874</v>
      </c>
      <c r="G190" s="43">
        <v>3.27</v>
      </c>
      <c r="H190" s="43" t="s">
        <v>123</v>
      </c>
      <c r="I190" s="43" t="s">
        <v>117</v>
      </c>
      <c r="K190" s="43" t="s">
        <v>117</v>
      </c>
    </row>
    <row r="191" spans="1:11" x14ac:dyDescent="0.2">
      <c r="A191" s="43">
        <v>8966</v>
      </c>
      <c r="B191" s="43" t="s">
        <v>875</v>
      </c>
      <c r="C191" s="43" t="s">
        <v>876</v>
      </c>
      <c r="D191" s="43" t="s">
        <v>113</v>
      </c>
      <c r="E191" s="43" t="s">
        <v>877</v>
      </c>
      <c r="F191" s="43" t="s">
        <v>878</v>
      </c>
      <c r="G191" s="43">
        <v>2.5</v>
      </c>
      <c r="H191" s="43" t="s">
        <v>156</v>
      </c>
      <c r="I191" s="43" t="s">
        <v>117</v>
      </c>
      <c r="K191" s="43" t="s">
        <v>117</v>
      </c>
    </row>
    <row r="192" spans="1:11" x14ac:dyDescent="0.2">
      <c r="A192" s="43">
        <v>9028</v>
      </c>
      <c r="B192" s="43" t="s">
        <v>879</v>
      </c>
      <c r="C192" s="43" t="s">
        <v>880</v>
      </c>
      <c r="D192" s="43" t="s">
        <v>230</v>
      </c>
      <c r="E192" s="43" t="s">
        <v>881</v>
      </c>
      <c r="F192" s="43" t="s">
        <v>882</v>
      </c>
      <c r="G192" s="43">
        <v>3.02</v>
      </c>
      <c r="H192" s="43" t="s">
        <v>116</v>
      </c>
      <c r="I192" s="43" t="s">
        <v>117</v>
      </c>
      <c r="K192" s="43" t="s">
        <v>117</v>
      </c>
    </row>
    <row r="193" spans="1:11" x14ac:dyDescent="0.2">
      <c r="A193" s="43">
        <v>9067</v>
      </c>
      <c r="B193" s="43" t="s">
        <v>883</v>
      </c>
      <c r="C193" s="43" t="s">
        <v>884</v>
      </c>
      <c r="D193" s="43" t="s">
        <v>113</v>
      </c>
      <c r="E193" s="43" t="s">
        <v>885</v>
      </c>
      <c r="F193" s="43" t="s">
        <v>886</v>
      </c>
      <c r="G193" s="43">
        <v>2.11</v>
      </c>
      <c r="H193" s="43" t="s">
        <v>156</v>
      </c>
      <c r="I193" s="43" t="s">
        <v>117</v>
      </c>
      <c r="K193" s="43" t="s">
        <v>124</v>
      </c>
    </row>
    <row r="194" spans="1:11" x14ac:dyDescent="0.2">
      <c r="A194" s="43">
        <v>9071</v>
      </c>
      <c r="B194" s="43" t="s">
        <v>887</v>
      </c>
      <c r="C194" s="43" t="s">
        <v>888</v>
      </c>
      <c r="D194" s="43" t="s">
        <v>437</v>
      </c>
      <c r="E194" s="43" t="s">
        <v>889</v>
      </c>
      <c r="F194" s="43" t="s">
        <v>890</v>
      </c>
      <c r="G194" s="43">
        <v>2.35</v>
      </c>
      <c r="H194" s="43" t="s">
        <v>123</v>
      </c>
      <c r="I194" s="43" t="s">
        <v>117</v>
      </c>
      <c r="K194" s="43" t="s">
        <v>117</v>
      </c>
    </row>
    <row r="195" spans="1:11" x14ac:dyDescent="0.2">
      <c r="A195" s="43">
        <v>9084</v>
      </c>
      <c r="B195" s="43" t="s">
        <v>891</v>
      </c>
      <c r="C195" s="43" t="s">
        <v>892</v>
      </c>
      <c r="D195" s="43" t="s">
        <v>194</v>
      </c>
      <c r="E195" s="43" t="s">
        <v>893</v>
      </c>
      <c r="F195" s="43" t="s">
        <v>894</v>
      </c>
      <c r="G195" s="43">
        <v>2.0699999999999998</v>
      </c>
      <c r="H195" s="43" t="s">
        <v>116</v>
      </c>
      <c r="I195" s="43" t="s">
        <v>117</v>
      </c>
      <c r="K195" s="43" t="s">
        <v>124</v>
      </c>
    </row>
    <row r="196" spans="1:11" x14ac:dyDescent="0.2">
      <c r="A196" s="43">
        <v>9152</v>
      </c>
      <c r="B196" s="43" t="s">
        <v>550</v>
      </c>
      <c r="C196" s="43" t="s">
        <v>895</v>
      </c>
      <c r="D196" s="43" t="s">
        <v>495</v>
      </c>
      <c r="E196" s="43" t="s">
        <v>896</v>
      </c>
      <c r="F196" s="43" t="s">
        <v>897</v>
      </c>
      <c r="G196" s="43">
        <v>2.2000000000000002</v>
      </c>
      <c r="H196" s="43" t="s">
        <v>116</v>
      </c>
      <c r="I196" s="43" t="s">
        <v>117</v>
      </c>
      <c r="K196" s="43" t="s">
        <v>124</v>
      </c>
    </row>
    <row r="197" spans="1:11" x14ac:dyDescent="0.2">
      <c r="A197" s="43">
        <v>9287</v>
      </c>
      <c r="B197" s="43" t="s">
        <v>898</v>
      </c>
      <c r="C197" s="43" t="s">
        <v>899</v>
      </c>
      <c r="D197" s="43" t="s">
        <v>390</v>
      </c>
      <c r="E197" s="43" t="s">
        <v>900</v>
      </c>
      <c r="F197" s="43" t="s">
        <v>901</v>
      </c>
      <c r="G197" s="43">
        <v>3.29</v>
      </c>
      <c r="H197" s="43" t="s">
        <v>123</v>
      </c>
      <c r="I197" s="43" t="s">
        <v>117</v>
      </c>
      <c r="K197" s="43" t="s">
        <v>117</v>
      </c>
    </row>
    <row r="198" spans="1:11" x14ac:dyDescent="0.2">
      <c r="A198" s="43">
        <v>9314</v>
      </c>
      <c r="B198" s="43" t="s">
        <v>902</v>
      </c>
      <c r="C198" s="43" t="s">
        <v>903</v>
      </c>
      <c r="D198" s="43" t="s">
        <v>139</v>
      </c>
      <c r="E198" s="43" t="s">
        <v>904</v>
      </c>
      <c r="F198" s="43" t="s">
        <v>905</v>
      </c>
      <c r="G198" s="43">
        <v>2.52</v>
      </c>
      <c r="H198" s="43" t="s">
        <v>156</v>
      </c>
      <c r="I198" s="43" t="s">
        <v>117</v>
      </c>
      <c r="K198" s="43" t="s">
        <v>124</v>
      </c>
    </row>
    <row r="199" spans="1:11" x14ac:dyDescent="0.2">
      <c r="A199" s="43">
        <v>9326</v>
      </c>
      <c r="B199" s="43" t="s">
        <v>906</v>
      </c>
      <c r="C199" s="43" t="s">
        <v>907</v>
      </c>
      <c r="D199" s="43" t="s">
        <v>159</v>
      </c>
      <c r="E199" s="43" t="s">
        <v>908</v>
      </c>
      <c r="F199" s="43" t="s">
        <v>909</v>
      </c>
      <c r="G199" s="43">
        <v>3.02</v>
      </c>
      <c r="H199" s="43" t="s">
        <v>123</v>
      </c>
      <c r="I199" s="43" t="s">
        <v>117</v>
      </c>
      <c r="K199" s="43" t="s">
        <v>124</v>
      </c>
    </row>
    <row r="200" spans="1:11" x14ac:dyDescent="0.2">
      <c r="A200" s="43">
        <v>9329</v>
      </c>
      <c r="B200" s="43" t="s">
        <v>252</v>
      </c>
      <c r="C200" s="43" t="s">
        <v>910</v>
      </c>
      <c r="D200" s="43" t="s">
        <v>911</v>
      </c>
      <c r="E200" s="43" t="s">
        <v>912</v>
      </c>
      <c r="F200" s="43" t="s">
        <v>913</v>
      </c>
      <c r="G200" s="43">
        <v>3.04</v>
      </c>
      <c r="H200" s="43" t="s">
        <v>131</v>
      </c>
      <c r="I200" s="43" t="s">
        <v>124</v>
      </c>
      <c r="J200" s="43" t="s">
        <v>318</v>
      </c>
      <c r="K200" s="43" t="s">
        <v>124</v>
      </c>
    </row>
    <row r="201" spans="1:11" x14ac:dyDescent="0.2">
      <c r="A201" s="43">
        <v>9407</v>
      </c>
      <c r="B201" s="43" t="s">
        <v>914</v>
      </c>
      <c r="C201" s="43" t="s">
        <v>915</v>
      </c>
      <c r="D201" s="43" t="s">
        <v>113</v>
      </c>
      <c r="E201" s="43" t="s">
        <v>916</v>
      </c>
      <c r="F201" s="43" t="s">
        <v>917</v>
      </c>
      <c r="G201" s="43">
        <v>2.6</v>
      </c>
      <c r="H201" s="43" t="s">
        <v>131</v>
      </c>
      <c r="I201" s="43" t="s">
        <v>117</v>
      </c>
      <c r="K201" s="43" t="s">
        <v>124</v>
      </c>
    </row>
    <row r="202" spans="1:11" x14ac:dyDescent="0.2">
      <c r="A202" s="43">
        <v>9424</v>
      </c>
      <c r="B202" s="43" t="s">
        <v>918</v>
      </c>
      <c r="C202" s="43" t="s">
        <v>919</v>
      </c>
      <c r="D202" s="43" t="s">
        <v>267</v>
      </c>
      <c r="E202" s="43" t="s">
        <v>920</v>
      </c>
      <c r="F202" s="43" t="s">
        <v>921</v>
      </c>
      <c r="G202" s="43">
        <v>2.08</v>
      </c>
      <c r="H202" s="43" t="s">
        <v>131</v>
      </c>
      <c r="I202" s="43" t="s">
        <v>117</v>
      </c>
      <c r="K202" s="43" t="s">
        <v>117</v>
      </c>
    </row>
    <row r="203" spans="1:11" x14ac:dyDescent="0.2">
      <c r="A203" s="43">
        <v>9481</v>
      </c>
      <c r="B203" s="43" t="s">
        <v>922</v>
      </c>
      <c r="C203" s="43" t="s">
        <v>923</v>
      </c>
      <c r="D203" s="43" t="s">
        <v>188</v>
      </c>
      <c r="E203" s="43" t="s">
        <v>924</v>
      </c>
      <c r="F203" s="43" t="s">
        <v>925</v>
      </c>
      <c r="G203" s="43">
        <v>3.77</v>
      </c>
      <c r="H203" s="43" t="s">
        <v>123</v>
      </c>
      <c r="I203" s="43" t="s">
        <v>117</v>
      </c>
      <c r="K203" s="43" t="s">
        <v>117</v>
      </c>
    </row>
    <row r="204" spans="1:11" x14ac:dyDescent="0.2">
      <c r="A204" s="43">
        <v>9510</v>
      </c>
      <c r="B204" s="43" t="s">
        <v>738</v>
      </c>
      <c r="C204" s="43" t="s">
        <v>926</v>
      </c>
      <c r="D204" s="43" t="s">
        <v>656</v>
      </c>
      <c r="E204" s="43" t="s">
        <v>927</v>
      </c>
      <c r="F204" s="43" t="s">
        <v>928</v>
      </c>
      <c r="G204" s="43">
        <v>2.0299999999999998</v>
      </c>
      <c r="H204" s="43" t="s">
        <v>131</v>
      </c>
      <c r="I204" s="43" t="s">
        <v>117</v>
      </c>
      <c r="K204" s="43" t="s">
        <v>124</v>
      </c>
    </row>
    <row r="205" spans="1:11" x14ac:dyDescent="0.2">
      <c r="A205" s="43">
        <v>9532</v>
      </c>
      <c r="B205" s="43" t="s">
        <v>929</v>
      </c>
      <c r="C205" s="43" t="s">
        <v>930</v>
      </c>
      <c r="D205" s="43" t="s">
        <v>183</v>
      </c>
      <c r="E205" s="43" t="s">
        <v>931</v>
      </c>
      <c r="F205" s="43" t="s">
        <v>932</v>
      </c>
      <c r="G205" s="43">
        <v>3.86</v>
      </c>
      <c r="H205" s="43" t="s">
        <v>123</v>
      </c>
      <c r="I205" s="43" t="s">
        <v>117</v>
      </c>
      <c r="K205" s="43" t="s">
        <v>117</v>
      </c>
    </row>
    <row r="206" spans="1:11" x14ac:dyDescent="0.2">
      <c r="A206" s="43">
        <v>9572</v>
      </c>
      <c r="B206" s="43" t="s">
        <v>933</v>
      </c>
      <c r="C206" s="43" t="s">
        <v>934</v>
      </c>
      <c r="D206" s="43" t="s">
        <v>149</v>
      </c>
      <c r="E206" s="43" t="s">
        <v>935</v>
      </c>
      <c r="F206" s="43" t="s">
        <v>936</v>
      </c>
      <c r="G206" s="43">
        <v>2.8</v>
      </c>
      <c r="H206" s="43" t="s">
        <v>123</v>
      </c>
      <c r="I206" s="43" t="s">
        <v>117</v>
      </c>
      <c r="K206" s="43" t="s">
        <v>117</v>
      </c>
    </row>
    <row r="207" spans="1:11" x14ac:dyDescent="0.2">
      <c r="A207" s="43">
        <v>9612</v>
      </c>
      <c r="B207" s="43" t="s">
        <v>937</v>
      </c>
      <c r="C207" s="43" t="s">
        <v>938</v>
      </c>
      <c r="D207" s="43" t="s">
        <v>208</v>
      </c>
      <c r="E207" s="43" t="s">
        <v>939</v>
      </c>
      <c r="F207" s="43" t="s">
        <v>940</v>
      </c>
      <c r="G207" s="43">
        <v>3.87</v>
      </c>
      <c r="H207" s="43" t="s">
        <v>123</v>
      </c>
      <c r="I207" s="43" t="s">
        <v>117</v>
      </c>
      <c r="K207" s="43" t="s">
        <v>117</v>
      </c>
    </row>
    <row r="208" spans="1:11" x14ac:dyDescent="0.2">
      <c r="A208" s="43">
        <v>9649</v>
      </c>
      <c r="B208" s="43" t="s">
        <v>941</v>
      </c>
      <c r="C208" s="43" t="s">
        <v>942</v>
      </c>
      <c r="D208" s="43" t="s">
        <v>144</v>
      </c>
      <c r="E208" s="43" t="s">
        <v>943</v>
      </c>
      <c r="F208" s="43" t="s">
        <v>944</v>
      </c>
      <c r="G208" s="43">
        <v>3.2</v>
      </c>
      <c r="H208" s="43" t="s">
        <v>116</v>
      </c>
      <c r="I208" s="43" t="s">
        <v>117</v>
      </c>
      <c r="K208" s="43" t="s">
        <v>117</v>
      </c>
    </row>
    <row r="209" spans="1:11" x14ac:dyDescent="0.2">
      <c r="A209" s="43">
        <v>9676</v>
      </c>
      <c r="B209" s="43" t="s">
        <v>766</v>
      </c>
      <c r="C209" s="43" t="s">
        <v>945</v>
      </c>
      <c r="D209" s="43" t="s">
        <v>113</v>
      </c>
      <c r="E209" s="43" t="s">
        <v>946</v>
      </c>
      <c r="F209" s="43" t="s">
        <v>947</v>
      </c>
      <c r="G209" s="43">
        <v>3.27</v>
      </c>
      <c r="H209" s="43" t="s">
        <v>123</v>
      </c>
      <c r="I209" s="43" t="s">
        <v>124</v>
      </c>
      <c r="J209" s="43" t="s">
        <v>654</v>
      </c>
      <c r="K209" s="43" t="s">
        <v>124</v>
      </c>
    </row>
    <row r="210" spans="1:11" x14ac:dyDescent="0.2">
      <c r="A210" s="43">
        <v>9746</v>
      </c>
      <c r="B210" s="43" t="s">
        <v>948</v>
      </c>
      <c r="C210" s="43" t="s">
        <v>949</v>
      </c>
      <c r="D210" s="43" t="s">
        <v>113</v>
      </c>
      <c r="E210" s="43" t="s">
        <v>950</v>
      </c>
      <c r="F210" s="43" t="s">
        <v>951</v>
      </c>
      <c r="G210" s="43">
        <v>3.69</v>
      </c>
      <c r="H210" s="43" t="s">
        <v>116</v>
      </c>
      <c r="I210" s="43" t="s">
        <v>117</v>
      </c>
      <c r="K210" s="43" t="s">
        <v>124</v>
      </c>
    </row>
    <row r="211" spans="1:11" x14ac:dyDescent="0.2">
      <c r="A211" s="43">
        <v>9773</v>
      </c>
      <c r="B211" s="43" t="s">
        <v>952</v>
      </c>
      <c r="C211" s="43" t="s">
        <v>953</v>
      </c>
      <c r="D211" s="43" t="s">
        <v>194</v>
      </c>
      <c r="E211" s="43" t="s">
        <v>954</v>
      </c>
      <c r="F211" s="43" t="s">
        <v>955</v>
      </c>
      <c r="G211" s="43">
        <v>3.18</v>
      </c>
      <c r="H211" s="43" t="s">
        <v>131</v>
      </c>
      <c r="I211" s="43" t="s">
        <v>117</v>
      </c>
      <c r="K211" s="43" t="s">
        <v>117</v>
      </c>
    </row>
    <row r="212" spans="1:11" x14ac:dyDescent="0.2">
      <c r="A212" s="43">
        <v>9897</v>
      </c>
      <c r="B212" s="43" t="s">
        <v>956</v>
      </c>
      <c r="C212" s="43" t="s">
        <v>957</v>
      </c>
      <c r="D212" s="43" t="s">
        <v>331</v>
      </c>
      <c r="E212" s="43" t="s">
        <v>958</v>
      </c>
      <c r="F212" s="43" t="s">
        <v>959</v>
      </c>
      <c r="G212" s="43">
        <v>2.31</v>
      </c>
      <c r="H212" s="43" t="s">
        <v>123</v>
      </c>
      <c r="I212" s="43" t="s">
        <v>117</v>
      </c>
      <c r="K212" s="43" t="s">
        <v>117</v>
      </c>
    </row>
    <row r="213" spans="1:11" x14ac:dyDescent="0.2">
      <c r="A213" s="43">
        <v>10007</v>
      </c>
      <c r="B213" s="43" t="s">
        <v>292</v>
      </c>
      <c r="C213" s="43" t="s">
        <v>960</v>
      </c>
      <c r="D213" s="43" t="s">
        <v>390</v>
      </c>
      <c r="E213" s="43" t="s">
        <v>961</v>
      </c>
      <c r="F213" s="43" t="s">
        <v>962</v>
      </c>
      <c r="G213" s="43">
        <v>3.67</v>
      </c>
      <c r="H213" s="43" t="s">
        <v>116</v>
      </c>
      <c r="I213" s="43" t="s">
        <v>117</v>
      </c>
      <c r="K213" s="43" t="s">
        <v>117</v>
      </c>
    </row>
    <row r="214" spans="1:11" x14ac:dyDescent="0.2">
      <c r="A214" s="43">
        <v>10038</v>
      </c>
      <c r="B214" s="43" t="s">
        <v>963</v>
      </c>
      <c r="C214" s="43" t="s">
        <v>964</v>
      </c>
      <c r="D214" s="43" t="s">
        <v>134</v>
      </c>
      <c r="E214" s="43" t="s">
        <v>965</v>
      </c>
      <c r="F214" s="43" t="s">
        <v>966</v>
      </c>
      <c r="G214" s="43">
        <v>3.75</v>
      </c>
      <c r="H214" s="43" t="s">
        <v>116</v>
      </c>
      <c r="I214" s="43" t="s">
        <v>117</v>
      </c>
      <c r="K214" s="43" t="s">
        <v>124</v>
      </c>
    </row>
    <row r="215" spans="1:11" x14ac:dyDescent="0.2">
      <c r="A215" s="43">
        <v>10061</v>
      </c>
      <c r="B215" s="43" t="s">
        <v>967</v>
      </c>
      <c r="C215" s="43" t="s">
        <v>968</v>
      </c>
      <c r="D215" s="43" t="s">
        <v>656</v>
      </c>
      <c r="E215" s="43" t="s">
        <v>969</v>
      </c>
      <c r="F215" s="43" t="s">
        <v>970</v>
      </c>
      <c r="G215" s="43">
        <v>3.07</v>
      </c>
      <c r="H215" s="43" t="s">
        <v>123</v>
      </c>
      <c r="I215" s="43" t="s">
        <v>117</v>
      </c>
      <c r="K215" s="43" t="s">
        <v>124</v>
      </c>
    </row>
    <row r="216" spans="1:11" x14ac:dyDescent="0.2">
      <c r="A216" s="43">
        <v>10123</v>
      </c>
      <c r="B216" s="43" t="s">
        <v>971</v>
      </c>
      <c r="C216" s="43" t="s">
        <v>972</v>
      </c>
      <c r="D216" s="43" t="s">
        <v>149</v>
      </c>
      <c r="E216" s="43" t="s">
        <v>973</v>
      </c>
      <c r="F216" s="43" t="s">
        <v>974</v>
      </c>
      <c r="G216" s="43">
        <v>3.34</v>
      </c>
      <c r="H216" s="43" t="s">
        <v>116</v>
      </c>
      <c r="I216" s="43" t="s">
        <v>117</v>
      </c>
      <c r="K216" s="43" t="s">
        <v>124</v>
      </c>
    </row>
    <row r="217" spans="1:11" x14ac:dyDescent="0.2">
      <c r="A217" s="43">
        <v>10156</v>
      </c>
      <c r="B217" s="43" t="s">
        <v>975</v>
      </c>
      <c r="C217" s="43" t="s">
        <v>976</v>
      </c>
      <c r="D217" s="43" t="s">
        <v>128</v>
      </c>
      <c r="E217" s="43" t="s">
        <v>977</v>
      </c>
      <c r="F217" s="43" t="s">
        <v>978</v>
      </c>
      <c r="G217" s="43">
        <v>3.34</v>
      </c>
      <c r="H217" s="43" t="s">
        <v>123</v>
      </c>
      <c r="I217" s="43" t="s">
        <v>117</v>
      </c>
      <c r="K217" s="43" t="s">
        <v>124</v>
      </c>
    </row>
    <row r="218" spans="1:11" x14ac:dyDescent="0.2">
      <c r="A218" s="43">
        <v>10167</v>
      </c>
      <c r="B218" s="43" t="s">
        <v>979</v>
      </c>
      <c r="C218" s="43" t="s">
        <v>980</v>
      </c>
      <c r="D218" s="43" t="s">
        <v>230</v>
      </c>
      <c r="E218" s="43" t="s">
        <v>981</v>
      </c>
      <c r="F218" s="43" t="s">
        <v>982</v>
      </c>
      <c r="G218" s="43">
        <v>2.83</v>
      </c>
      <c r="H218" s="43" t="s">
        <v>116</v>
      </c>
      <c r="I218" s="43" t="s">
        <v>117</v>
      </c>
      <c r="K218" s="43" t="s">
        <v>117</v>
      </c>
    </row>
    <row r="219" spans="1:11" x14ac:dyDescent="0.2">
      <c r="A219" s="43">
        <v>10193</v>
      </c>
      <c r="B219" s="43" t="s">
        <v>983</v>
      </c>
      <c r="C219" s="43" t="s">
        <v>984</v>
      </c>
      <c r="D219" s="43" t="s">
        <v>235</v>
      </c>
      <c r="E219" s="43" t="s">
        <v>985</v>
      </c>
      <c r="F219" s="43" t="s">
        <v>986</v>
      </c>
      <c r="G219" s="43">
        <v>2.21</v>
      </c>
      <c r="H219" s="43" t="s">
        <v>123</v>
      </c>
      <c r="I219" s="43" t="s">
        <v>124</v>
      </c>
      <c r="J219" s="43" t="s">
        <v>654</v>
      </c>
      <c r="K219" s="43" t="s">
        <v>124</v>
      </c>
    </row>
    <row r="220" spans="1:11" x14ac:dyDescent="0.2">
      <c r="A220" s="43">
        <v>10217</v>
      </c>
      <c r="B220" s="43" t="s">
        <v>987</v>
      </c>
      <c r="C220" s="43" t="s">
        <v>988</v>
      </c>
      <c r="D220" s="43" t="s">
        <v>208</v>
      </c>
      <c r="E220" s="43" t="s">
        <v>989</v>
      </c>
      <c r="F220" s="43" t="s">
        <v>990</v>
      </c>
      <c r="G220" s="43">
        <v>3.54</v>
      </c>
      <c r="H220" s="43" t="s">
        <v>123</v>
      </c>
      <c r="I220" s="43" t="s">
        <v>117</v>
      </c>
      <c r="K220" s="43" t="s">
        <v>124</v>
      </c>
    </row>
    <row r="221" spans="1:11" x14ac:dyDescent="0.2">
      <c r="A221" s="43">
        <v>10222</v>
      </c>
      <c r="B221" s="43" t="s">
        <v>991</v>
      </c>
      <c r="C221" s="43" t="s">
        <v>992</v>
      </c>
      <c r="D221" s="43" t="s">
        <v>113</v>
      </c>
      <c r="E221" s="43" t="s">
        <v>993</v>
      </c>
      <c r="F221" s="43" t="s">
        <v>994</v>
      </c>
      <c r="G221" s="43">
        <v>3.96</v>
      </c>
      <c r="H221" s="43" t="s">
        <v>123</v>
      </c>
      <c r="I221" s="43" t="s">
        <v>117</v>
      </c>
      <c r="K221" s="43" t="s">
        <v>117</v>
      </c>
    </row>
    <row r="222" spans="1:11" x14ac:dyDescent="0.2">
      <c r="A222" s="43">
        <v>10229</v>
      </c>
      <c r="B222" s="43" t="s">
        <v>823</v>
      </c>
      <c r="C222" s="43" t="s">
        <v>995</v>
      </c>
      <c r="D222" s="43" t="s">
        <v>120</v>
      </c>
      <c r="E222" s="43" t="s">
        <v>996</v>
      </c>
      <c r="F222" s="43" t="s">
        <v>997</v>
      </c>
      <c r="G222" s="43">
        <v>2.09</v>
      </c>
      <c r="H222" s="43" t="s">
        <v>123</v>
      </c>
      <c r="I222" s="43" t="s">
        <v>117</v>
      </c>
      <c r="K222" s="43" t="s">
        <v>124</v>
      </c>
    </row>
    <row r="223" spans="1:11" x14ac:dyDescent="0.2">
      <c r="A223" s="43">
        <v>10280</v>
      </c>
      <c r="B223" s="43" t="s">
        <v>998</v>
      </c>
      <c r="C223" s="43" t="s">
        <v>868</v>
      </c>
      <c r="D223" s="43" t="s">
        <v>523</v>
      </c>
      <c r="E223" s="43" t="s">
        <v>999</v>
      </c>
      <c r="F223" s="43" t="s">
        <v>1000</v>
      </c>
      <c r="G223" s="43">
        <v>3.14</v>
      </c>
      <c r="H223" s="43" t="s">
        <v>156</v>
      </c>
      <c r="I223" s="43" t="s">
        <v>117</v>
      </c>
      <c r="K223" s="43" t="s">
        <v>117</v>
      </c>
    </row>
    <row r="224" spans="1:11" x14ac:dyDescent="0.2">
      <c r="A224" s="43">
        <v>10332</v>
      </c>
      <c r="B224" s="43" t="s">
        <v>1001</v>
      </c>
      <c r="C224" s="43" t="s">
        <v>1002</v>
      </c>
      <c r="D224" s="43" t="s">
        <v>230</v>
      </c>
      <c r="E224" s="43" t="s">
        <v>1003</v>
      </c>
      <c r="F224" s="43" t="s">
        <v>1004</v>
      </c>
      <c r="G224" s="43">
        <v>3.17</v>
      </c>
      <c r="H224" s="43" t="s">
        <v>156</v>
      </c>
      <c r="I224" s="43" t="s">
        <v>117</v>
      </c>
      <c r="K224" s="43" t="s">
        <v>124</v>
      </c>
    </row>
    <row r="225" spans="1:11" x14ac:dyDescent="0.2">
      <c r="A225" s="43">
        <v>10369</v>
      </c>
      <c r="B225" s="43" t="s">
        <v>1005</v>
      </c>
      <c r="C225" s="43" t="s">
        <v>1006</v>
      </c>
      <c r="D225" s="43" t="s">
        <v>208</v>
      </c>
      <c r="E225" s="43" t="s">
        <v>1007</v>
      </c>
      <c r="F225" s="43" t="s">
        <v>1008</v>
      </c>
      <c r="G225" s="43">
        <v>2.82</v>
      </c>
      <c r="H225" s="43" t="s">
        <v>123</v>
      </c>
      <c r="I225" s="43" t="s">
        <v>124</v>
      </c>
      <c r="J225" s="43" t="s">
        <v>251</v>
      </c>
      <c r="K225" s="43" t="s">
        <v>124</v>
      </c>
    </row>
    <row r="226" spans="1:11" x14ac:dyDescent="0.2">
      <c r="A226" s="43">
        <v>10459</v>
      </c>
      <c r="B226" s="43" t="s">
        <v>1009</v>
      </c>
      <c r="C226" s="43" t="s">
        <v>1010</v>
      </c>
      <c r="D226" s="43" t="s">
        <v>235</v>
      </c>
      <c r="E226" s="43" t="s">
        <v>1011</v>
      </c>
      <c r="F226" s="43" t="s">
        <v>1012</v>
      </c>
      <c r="G226" s="43">
        <v>2.0299999999999998</v>
      </c>
      <c r="H226" s="43" t="s">
        <v>116</v>
      </c>
      <c r="I226" s="43" t="s">
        <v>117</v>
      </c>
      <c r="K226" s="43" t="s">
        <v>124</v>
      </c>
    </row>
    <row r="227" spans="1:11" x14ac:dyDescent="0.2">
      <c r="A227" s="43">
        <v>10467</v>
      </c>
      <c r="B227" s="43" t="s">
        <v>1013</v>
      </c>
      <c r="C227" s="43" t="s">
        <v>1002</v>
      </c>
      <c r="D227" s="43" t="s">
        <v>495</v>
      </c>
      <c r="E227" s="43" t="s">
        <v>1014</v>
      </c>
      <c r="F227" s="43" t="s">
        <v>1015</v>
      </c>
      <c r="G227" s="43">
        <v>3.11</v>
      </c>
      <c r="H227" s="43" t="s">
        <v>123</v>
      </c>
      <c r="I227" s="43" t="s">
        <v>124</v>
      </c>
      <c r="J227" s="43" t="s">
        <v>296</v>
      </c>
      <c r="K227" s="43" t="s">
        <v>117</v>
      </c>
    </row>
    <row r="228" spans="1:11" x14ac:dyDescent="0.2">
      <c r="A228" s="43">
        <v>10695</v>
      </c>
      <c r="B228" s="43" t="s">
        <v>1016</v>
      </c>
      <c r="C228" s="43" t="s">
        <v>1017</v>
      </c>
      <c r="D228" s="43" t="s">
        <v>326</v>
      </c>
      <c r="E228" s="43" t="s">
        <v>1018</v>
      </c>
      <c r="F228" s="43" t="s">
        <v>1019</v>
      </c>
      <c r="G228" s="43">
        <v>2.87</v>
      </c>
      <c r="H228" s="43" t="s">
        <v>116</v>
      </c>
      <c r="I228" s="43" t="s">
        <v>117</v>
      </c>
      <c r="K228" s="43" t="s">
        <v>124</v>
      </c>
    </row>
    <row r="229" spans="1:11" x14ac:dyDescent="0.2">
      <c r="A229" s="43">
        <v>10796</v>
      </c>
      <c r="B229" s="43" t="s">
        <v>1020</v>
      </c>
      <c r="C229" s="43" t="s">
        <v>1021</v>
      </c>
      <c r="D229" s="43" t="s">
        <v>235</v>
      </c>
      <c r="E229" s="43" t="s">
        <v>1022</v>
      </c>
      <c r="F229" s="43" t="s">
        <v>1023</v>
      </c>
      <c r="G229" s="43">
        <v>2.6</v>
      </c>
      <c r="H229" s="43" t="s">
        <v>156</v>
      </c>
      <c r="I229" s="43" t="s">
        <v>117</v>
      </c>
      <c r="K229" s="43" t="s">
        <v>117</v>
      </c>
    </row>
    <row r="230" spans="1:11" x14ac:dyDescent="0.2">
      <c r="A230" s="43">
        <v>10821</v>
      </c>
      <c r="B230" s="43" t="s">
        <v>1024</v>
      </c>
      <c r="C230" s="43" t="s">
        <v>1025</v>
      </c>
      <c r="D230" s="43" t="s">
        <v>351</v>
      </c>
      <c r="E230" s="43" t="s">
        <v>1026</v>
      </c>
      <c r="F230" s="43" t="s">
        <v>1027</v>
      </c>
      <c r="G230" s="43">
        <v>3.75</v>
      </c>
      <c r="H230" s="43" t="s">
        <v>123</v>
      </c>
      <c r="I230" s="43" t="s">
        <v>117</v>
      </c>
      <c r="K230" s="43" t="s">
        <v>117</v>
      </c>
    </row>
    <row r="231" spans="1:11" x14ac:dyDescent="0.2">
      <c r="A231" s="43">
        <v>10844</v>
      </c>
      <c r="B231" s="43" t="s">
        <v>1028</v>
      </c>
      <c r="C231" s="43" t="s">
        <v>1029</v>
      </c>
      <c r="D231" s="43" t="s">
        <v>267</v>
      </c>
      <c r="E231" s="43" t="s">
        <v>1030</v>
      </c>
      <c r="F231" s="43" t="s">
        <v>1031</v>
      </c>
      <c r="G231" s="43">
        <v>3.51</v>
      </c>
      <c r="H231" s="43" t="s">
        <v>116</v>
      </c>
      <c r="I231" s="43" t="s">
        <v>117</v>
      </c>
      <c r="K231" s="43" t="s">
        <v>124</v>
      </c>
    </row>
    <row r="232" spans="1:11" x14ac:dyDescent="0.2">
      <c r="A232" s="43">
        <v>10879</v>
      </c>
      <c r="B232" s="43" t="s">
        <v>1032</v>
      </c>
      <c r="C232" s="43" t="s">
        <v>1033</v>
      </c>
      <c r="D232" s="43" t="s">
        <v>235</v>
      </c>
      <c r="E232" s="43" t="s">
        <v>1034</v>
      </c>
      <c r="F232" s="43" t="s">
        <v>1035</v>
      </c>
      <c r="G232" s="43">
        <v>2.68</v>
      </c>
      <c r="H232" s="43" t="s">
        <v>123</v>
      </c>
      <c r="I232" s="43" t="s">
        <v>117</v>
      </c>
      <c r="K232" s="43" t="s">
        <v>124</v>
      </c>
    </row>
    <row r="233" spans="1:11" x14ac:dyDescent="0.2">
      <c r="A233" s="43">
        <v>10907</v>
      </c>
      <c r="B233" s="43" t="s">
        <v>1036</v>
      </c>
      <c r="C233" s="43" t="s">
        <v>1037</v>
      </c>
      <c r="D233" s="43" t="s">
        <v>235</v>
      </c>
      <c r="E233" s="43" t="s">
        <v>1038</v>
      </c>
      <c r="F233" s="43" t="s">
        <v>1039</v>
      </c>
      <c r="G233" s="43">
        <v>2.4</v>
      </c>
      <c r="H233" s="43" t="s">
        <v>123</v>
      </c>
      <c r="I233" s="43" t="s">
        <v>117</v>
      </c>
      <c r="K233" s="43" t="s">
        <v>124</v>
      </c>
    </row>
    <row r="234" spans="1:11" x14ac:dyDescent="0.2">
      <c r="A234" s="43">
        <v>10941</v>
      </c>
      <c r="B234" s="43" t="s">
        <v>1040</v>
      </c>
      <c r="C234" s="43" t="s">
        <v>1041</v>
      </c>
      <c r="D234" s="43" t="s">
        <v>351</v>
      </c>
      <c r="E234" s="43" t="s">
        <v>1042</v>
      </c>
      <c r="F234" s="43" t="s">
        <v>1043</v>
      </c>
      <c r="G234" s="43">
        <v>3.04</v>
      </c>
      <c r="H234" s="43" t="s">
        <v>131</v>
      </c>
      <c r="I234" s="43" t="s">
        <v>117</v>
      </c>
      <c r="K234" s="43" t="s">
        <v>117</v>
      </c>
    </row>
    <row r="235" spans="1:11" x14ac:dyDescent="0.2">
      <c r="A235" s="43">
        <v>11073</v>
      </c>
      <c r="B235" s="43" t="s">
        <v>1044</v>
      </c>
      <c r="C235" s="43" t="s">
        <v>1045</v>
      </c>
      <c r="D235" s="43" t="s">
        <v>254</v>
      </c>
      <c r="E235" s="43" t="s">
        <v>1046</v>
      </c>
      <c r="F235" s="43" t="s">
        <v>1047</v>
      </c>
      <c r="G235" s="43">
        <v>2.98</v>
      </c>
      <c r="H235" s="43" t="s">
        <v>123</v>
      </c>
      <c r="I235" s="43" t="s">
        <v>117</v>
      </c>
      <c r="K235" s="43" t="s">
        <v>117</v>
      </c>
    </row>
    <row r="236" spans="1:11" x14ac:dyDescent="0.2">
      <c r="A236" s="43">
        <v>11084</v>
      </c>
      <c r="B236" s="43" t="s">
        <v>1048</v>
      </c>
      <c r="C236" s="43" t="s">
        <v>1049</v>
      </c>
      <c r="D236" s="43" t="s">
        <v>120</v>
      </c>
      <c r="E236" s="43" t="s">
        <v>1050</v>
      </c>
      <c r="F236" s="43" t="s">
        <v>1051</v>
      </c>
      <c r="G236" s="43">
        <v>3.45</v>
      </c>
      <c r="H236" s="43" t="s">
        <v>131</v>
      </c>
      <c r="I236" s="43" t="s">
        <v>117</v>
      </c>
      <c r="K236" s="43" t="s">
        <v>117</v>
      </c>
    </row>
    <row r="237" spans="1:11" x14ac:dyDescent="0.2">
      <c r="A237" s="43">
        <v>11116</v>
      </c>
      <c r="B237" s="43" t="s">
        <v>1052</v>
      </c>
      <c r="C237" s="43" t="s">
        <v>1053</v>
      </c>
      <c r="D237" s="43" t="s">
        <v>446</v>
      </c>
      <c r="E237" s="43" t="s">
        <v>1054</v>
      </c>
      <c r="F237" s="43" t="s">
        <v>1055</v>
      </c>
      <c r="G237" s="43">
        <v>3.1</v>
      </c>
      <c r="H237" s="43" t="s">
        <v>116</v>
      </c>
      <c r="I237" s="43" t="s">
        <v>117</v>
      </c>
      <c r="K237" s="43" t="s">
        <v>117</v>
      </c>
    </row>
    <row r="238" spans="1:11" x14ac:dyDescent="0.2">
      <c r="A238" s="43">
        <v>11258</v>
      </c>
      <c r="B238" s="43" t="s">
        <v>1056</v>
      </c>
      <c r="C238" s="43" t="s">
        <v>1057</v>
      </c>
      <c r="D238" s="43" t="s">
        <v>113</v>
      </c>
      <c r="E238" s="43" t="s">
        <v>1058</v>
      </c>
      <c r="F238" s="43" t="s">
        <v>1059</v>
      </c>
      <c r="G238" s="43">
        <v>3.63</v>
      </c>
      <c r="H238" s="43" t="s">
        <v>123</v>
      </c>
      <c r="I238" s="43" t="s">
        <v>117</v>
      </c>
      <c r="K238" s="43" t="s">
        <v>124</v>
      </c>
    </row>
    <row r="239" spans="1:11" x14ac:dyDescent="0.2">
      <c r="A239" s="43">
        <v>11291</v>
      </c>
      <c r="B239" s="43" t="s">
        <v>1060</v>
      </c>
      <c r="C239" s="43" t="s">
        <v>1061</v>
      </c>
      <c r="D239" s="43" t="s">
        <v>120</v>
      </c>
      <c r="E239" s="43" t="s">
        <v>1062</v>
      </c>
      <c r="F239" s="43" t="s">
        <v>1063</v>
      </c>
      <c r="G239" s="43">
        <v>3.53</v>
      </c>
      <c r="H239" s="43" t="s">
        <v>131</v>
      </c>
      <c r="I239" s="43" t="s">
        <v>117</v>
      </c>
      <c r="K239" s="43" t="s">
        <v>124</v>
      </c>
    </row>
    <row r="240" spans="1:11" x14ac:dyDescent="0.2">
      <c r="A240" s="43">
        <v>11315</v>
      </c>
      <c r="B240" s="43" t="s">
        <v>1064</v>
      </c>
      <c r="C240" s="43" t="s">
        <v>1065</v>
      </c>
      <c r="D240" s="43" t="s">
        <v>1066</v>
      </c>
      <c r="E240" s="43" t="s">
        <v>1067</v>
      </c>
      <c r="F240" s="43" t="s">
        <v>1068</v>
      </c>
      <c r="G240" s="43">
        <v>3.41</v>
      </c>
      <c r="H240" s="43" t="s">
        <v>156</v>
      </c>
      <c r="I240" s="43" t="s">
        <v>117</v>
      </c>
      <c r="K240" s="43" t="s">
        <v>124</v>
      </c>
    </row>
    <row r="241" spans="1:11" x14ac:dyDescent="0.2">
      <c r="A241" s="43">
        <v>11509</v>
      </c>
      <c r="B241" s="43" t="s">
        <v>197</v>
      </c>
      <c r="C241" s="43" t="s">
        <v>1069</v>
      </c>
      <c r="D241" s="43" t="s">
        <v>230</v>
      </c>
      <c r="E241" s="43" t="s">
        <v>1070</v>
      </c>
      <c r="F241" s="43" t="s">
        <v>1071</v>
      </c>
      <c r="G241" s="43">
        <v>3.05</v>
      </c>
      <c r="H241" s="43" t="s">
        <v>116</v>
      </c>
      <c r="I241" s="43" t="s">
        <v>117</v>
      </c>
      <c r="K241" s="43" t="s">
        <v>117</v>
      </c>
    </row>
    <row r="242" spans="1:11" x14ac:dyDescent="0.2">
      <c r="A242" s="43">
        <v>11541</v>
      </c>
      <c r="B242" s="43" t="s">
        <v>1072</v>
      </c>
      <c r="C242" s="43" t="s">
        <v>1073</v>
      </c>
      <c r="D242" s="43" t="s">
        <v>208</v>
      </c>
      <c r="E242" s="43" t="s">
        <v>1074</v>
      </c>
      <c r="F242" s="43" t="s">
        <v>1075</v>
      </c>
      <c r="G242" s="43">
        <v>2.3199999999999998</v>
      </c>
      <c r="H242" s="43" t="s">
        <v>156</v>
      </c>
      <c r="I242" s="43" t="s">
        <v>117</v>
      </c>
      <c r="K242" s="43" t="s">
        <v>124</v>
      </c>
    </row>
    <row r="243" spans="1:11" x14ac:dyDescent="0.2">
      <c r="A243" s="43">
        <v>11668</v>
      </c>
      <c r="B243" s="43" t="s">
        <v>1076</v>
      </c>
      <c r="C243" s="43" t="s">
        <v>1077</v>
      </c>
      <c r="D243" s="43" t="s">
        <v>134</v>
      </c>
      <c r="E243" s="43" t="s">
        <v>1078</v>
      </c>
      <c r="F243" s="43" t="s">
        <v>1079</v>
      </c>
      <c r="G243" s="43">
        <v>3.15</v>
      </c>
      <c r="H243" s="43" t="s">
        <v>123</v>
      </c>
      <c r="I243" s="43" t="s">
        <v>124</v>
      </c>
      <c r="J243" s="43" t="s">
        <v>405</v>
      </c>
      <c r="K243" s="43" t="s">
        <v>124</v>
      </c>
    </row>
    <row r="244" spans="1:11" x14ac:dyDescent="0.2">
      <c r="A244" s="43">
        <v>11680</v>
      </c>
      <c r="B244" s="43" t="s">
        <v>1080</v>
      </c>
      <c r="C244" s="43" t="s">
        <v>1081</v>
      </c>
      <c r="D244" s="43" t="s">
        <v>113</v>
      </c>
      <c r="E244" s="43" t="s">
        <v>1082</v>
      </c>
      <c r="F244" s="43" t="s">
        <v>1083</v>
      </c>
      <c r="G244" s="43">
        <v>2.08</v>
      </c>
      <c r="H244" s="43" t="s">
        <v>131</v>
      </c>
      <c r="I244" s="43" t="s">
        <v>117</v>
      </c>
      <c r="K244" s="43" t="s">
        <v>124</v>
      </c>
    </row>
    <row r="245" spans="1:11" x14ac:dyDescent="0.2">
      <c r="A245" s="43">
        <v>11702</v>
      </c>
      <c r="B245" s="43" t="s">
        <v>1084</v>
      </c>
      <c r="C245" s="43" t="s">
        <v>1085</v>
      </c>
      <c r="D245" s="43" t="s">
        <v>638</v>
      </c>
      <c r="E245" s="43" t="s">
        <v>1086</v>
      </c>
      <c r="F245" s="43" t="s">
        <v>1087</v>
      </c>
      <c r="G245" s="43">
        <v>3.65</v>
      </c>
      <c r="H245" s="43" t="s">
        <v>123</v>
      </c>
      <c r="I245" s="43" t="s">
        <v>117</v>
      </c>
      <c r="K245" s="43" t="s">
        <v>117</v>
      </c>
    </row>
    <row r="246" spans="1:11" x14ac:dyDescent="0.2">
      <c r="A246" s="43">
        <v>11704</v>
      </c>
      <c r="B246" s="43" t="s">
        <v>1088</v>
      </c>
      <c r="C246" s="43" t="s">
        <v>1089</v>
      </c>
      <c r="D246" s="43" t="s">
        <v>390</v>
      </c>
      <c r="E246" s="43" t="s">
        <v>1090</v>
      </c>
      <c r="F246" s="43" t="s">
        <v>1091</v>
      </c>
      <c r="G246" s="43">
        <v>3.7</v>
      </c>
      <c r="H246" s="43" t="s">
        <v>156</v>
      </c>
      <c r="I246" s="43" t="s">
        <v>117</v>
      </c>
      <c r="K246" s="43" t="s">
        <v>124</v>
      </c>
    </row>
    <row r="247" spans="1:11" x14ac:dyDescent="0.2">
      <c r="A247" s="43">
        <v>11706</v>
      </c>
      <c r="B247" s="43" t="s">
        <v>1092</v>
      </c>
      <c r="C247" s="43" t="s">
        <v>1093</v>
      </c>
      <c r="D247" s="43" t="s">
        <v>113</v>
      </c>
      <c r="E247" s="43" t="s">
        <v>1094</v>
      </c>
      <c r="F247" s="43" t="s">
        <v>1095</v>
      </c>
      <c r="G247" s="43">
        <v>2.64</v>
      </c>
      <c r="H247" s="43" t="s">
        <v>123</v>
      </c>
      <c r="I247" s="43" t="s">
        <v>117</v>
      </c>
      <c r="K247" s="43" t="s">
        <v>124</v>
      </c>
    </row>
    <row r="248" spans="1:11" x14ac:dyDescent="0.2">
      <c r="A248" s="43">
        <v>11721</v>
      </c>
      <c r="B248" s="43" t="s">
        <v>1096</v>
      </c>
      <c r="C248" s="43" t="s">
        <v>1097</v>
      </c>
      <c r="D248" s="43" t="s">
        <v>188</v>
      </c>
      <c r="E248" s="43" t="s">
        <v>1098</v>
      </c>
      <c r="F248" s="43" t="s">
        <v>1099</v>
      </c>
      <c r="G248" s="43">
        <v>2.17</v>
      </c>
      <c r="H248" s="43" t="s">
        <v>123</v>
      </c>
      <c r="I248" s="43" t="s">
        <v>117</v>
      </c>
      <c r="K248" s="43" t="s">
        <v>124</v>
      </c>
    </row>
    <row r="249" spans="1:11" x14ac:dyDescent="0.2">
      <c r="A249" s="43">
        <v>11764</v>
      </c>
      <c r="B249" s="43" t="s">
        <v>1100</v>
      </c>
      <c r="C249" s="43" t="s">
        <v>1101</v>
      </c>
      <c r="D249" s="43" t="s">
        <v>208</v>
      </c>
      <c r="E249" s="43" t="s">
        <v>1102</v>
      </c>
      <c r="F249" s="43" t="s">
        <v>1103</v>
      </c>
      <c r="G249" s="43">
        <v>3.63</v>
      </c>
      <c r="H249" s="43" t="s">
        <v>123</v>
      </c>
      <c r="I249" s="43" t="s">
        <v>117</v>
      </c>
      <c r="K249" s="43" t="s">
        <v>117</v>
      </c>
    </row>
    <row r="250" spans="1:11" x14ac:dyDescent="0.2">
      <c r="A250" s="43">
        <v>11845</v>
      </c>
      <c r="B250" s="43" t="s">
        <v>1104</v>
      </c>
      <c r="C250" s="43" t="s">
        <v>173</v>
      </c>
      <c r="D250" s="43" t="s">
        <v>267</v>
      </c>
      <c r="E250" s="43" t="s">
        <v>1105</v>
      </c>
      <c r="F250" s="43" t="s">
        <v>1106</v>
      </c>
      <c r="G250" s="43">
        <v>2.0299999999999998</v>
      </c>
      <c r="H250" s="43" t="s">
        <v>123</v>
      </c>
      <c r="I250" s="43" t="s">
        <v>117</v>
      </c>
      <c r="K250" s="43" t="s">
        <v>117</v>
      </c>
    </row>
    <row r="251" spans="1:11" x14ac:dyDescent="0.2">
      <c r="A251" s="43">
        <v>11904</v>
      </c>
      <c r="B251" s="43" t="s">
        <v>1107</v>
      </c>
      <c r="C251" s="43" t="s">
        <v>1108</v>
      </c>
      <c r="D251" s="43" t="s">
        <v>113</v>
      </c>
      <c r="E251" s="43" t="s">
        <v>1109</v>
      </c>
      <c r="F251" s="43" t="s">
        <v>1110</v>
      </c>
      <c r="G251" s="43">
        <v>2.2000000000000002</v>
      </c>
      <c r="H251" s="43" t="s">
        <v>123</v>
      </c>
      <c r="I251" s="43" t="s">
        <v>117</v>
      </c>
      <c r="K251" s="43" t="s">
        <v>124</v>
      </c>
    </row>
    <row r="252" spans="1:11" x14ac:dyDescent="0.2">
      <c r="A252" s="43">
        <v>11933</v>
      </c>
      <c r="B252" s="43" t="s">
        <v>1036</v>
      </c>
      <c r="C252" s="43" t="s">
        <v>1111</v>
      </c>
      <c r="D252" s="43" t="s">
        <v>199</v>
      </c>
      <c r="E252" s="43" t="s">
        <v>1112</v>
      </c>
      <c r="F252" s="43" t="s">
        <v>1113</v>
      </c>
      <c r="G252" s="43">
        <v>3.79</v>
      </c>
      <c r="H252" s="43" t="s">
        <v>131</v>
      </c>
      <c r="I252" s="43" t="s">
        <v>117</v>
      </c>
      <c r="K252" s="43" t="s">
        <v>117</v>
      </c>
    </row>
    <row r="253" spans="1:11" x14ac:dyDescent="0.2">
      <c r="A253" s="43">
        <v>11965</v>
      </c>
      <c r="B253" s="43" t="s">
        <v>488</v>
      </c>
      <c r="C253" s="43" t="s">
        <v>1114</v>
      </c>
      <c r="D253" s="43" t="s">
        <v>134</v>
      </c>
      <c r="E253" s="43" t="s">
        <v>1115</v>
      </c>
      <c r="F253" s="43" t="s">
        <v>1116</v>
      </c>
      <c r="G253" s="43">
        <v>2.64</v>
      </c>
      <c r="H253" s="43" t="s">
        <v>116</v>
      </c>
      <c r="I253" s="43" t="s">
        <v>117</v>
      </c>
      <c r="K253" s="43" t="s">
        <v>117</v>
      </c>
    </row>
    <row r="254" spans="1:11" x14ac:dyDescent="0.2">
      <c r="A254" s="43">
        <v>11968</v>
      </c>
      <c r="B254" s="43" t="s">
        <v>1117</v>
      </c>
      <c r="C254" s="43" t="s">
        <v>212</v>
      </c>
      <c r="D254" s="43" t="s">
        <v>634</v>
      </c>
      <c r="E254" s="43" t="s">
        <v>1118</v>
      </c>
      <c r="F254" s="43" t="s">
        <v>1119</v>
      </c>
      <c r="G254" s="43">
        <v>3.53</v>
      </c>
      <c r="H254" s="43" t="s">
        <v>131</v>
      </c>
      <c r="I254" s="43" t="s">
        <v>117</v>
      </c>
      <c r="K254" s="43" t="s">
        <v>124</v>
      </c>
    </row>
    <row r="255" spans="1:11" x14ac:dyDescent="0.2">
      <c r="A255" s="43">
        <v>11973</v>
      </c>
      <c r="B255" s="43" t="s">
        <v>1120</v>
      </c>
      <c r="C255" s="43" t="s">
        <v>1121</v>
      </c>
      <c r="D255" s="43" t="s">
        <v>149</v>
      </c>
      <c r="E255" s="43" t="s">
        <v>1122</v>
      </c>
      <c r="F255" s="43" t="s">
        <v>1123</v>
      </c>
      <c r="G255" s="43">
        <v>2.86</v>
      </c>
      <c r="H255" s="43" t="s">
        <v>156</v>
      </c>
      <c r="I255" s="43" t="s">
        <v>117</v>
      </c>
      <c r="K255" s="43" t="s">
        <v>117</v>
      </c>
    </row>
    <row r="256" spans="1:11" x14ac:dyDescent="0.2">
      <c r="A256" s="43">
        <v>12043</v>
      </c>
      <c r="B256" s="43" t="s">
        <v>1124</v>
      </c>
      <c r="C256" s="43" t="s">
        <v>1125</v>
      </c>
      <c r="D256" s="43" t="s">
        <v>230</v>
      </c>
      <c r="E256" s="43" t="s">
        <v>1126</v>
      </c>
      <c r="F256" s="43" t="s">
        <v>1127</v>
      </c>
      <c r="G256" s="43">
        <v>2.81</v>
      </c>
      <c r="H256" s="43" t="s">
        <v>156</v>
      </c>
      <c r="I256" s="43" t="s">
        <v>117</v>
      </c>
      <c r="K256" s="43" t="s">
        <v>124</v>
      </c>
    </row>
    <row r="257" spans="1:11" x14ac:dyDescent="0.2">
      <c r="A257" s="43">
        <v>12159</v>
      </c>
      <c r="B257" s="43" t="s">
        <v>1128</v>
      </c>
      <c r="C257" s="43" t="s">
        <v>1129</v>
      </c>
      <c r="D257" s="43" t="s">
        <v>351</v>
      </c>
      <c r="E257" s="43" t="s">
        <v>1130</v>
      </c>
      <c r="F257" s="43" t="s">
        <v>1131</v>
      </c>
      <c r="G257" s="43">
        <v>2.41</v>
      </c>
      <c r="H257" s="43" t="s">
        <v>156</v>
      </c>
      <c r="I257" s="43" t="s">
        <v>117</v>
      </c>
      <c r="K257" s="43" t="s">
        <v>124</v>
      </c>
    </row>
    <row r="258" spans="1:11" x14ac:dyDescent="0.2">
      <c r="A258" s="43">
        <v>12173</v>
      </c>
      <c r="B258" s="43" t="s">
        <v>1132</v>
      </c>
      <c r="C258" s="43" t="s">
        <v>1133</v>
      </c>
      <c r="D258" s="43" t="s">
        <v>377</v>
      </c>
      <c r="E258" s="43" t="s">
        <v>1134</v>
      </c>
      <c r="F258" s="43" t="s">
        <v>1135</v>
      </c>
      <c r="G258" s="43">
        <v>3.94</v>
      </c>
      <c r="H258" s="43" t="s">
        <v>116</v>
      </c>
      <c r="I258" s="43" t="s">
        <v>117</v>
      </c>
      <c r="K258" s="43" t="s">
        <v>117</v>
      </c>
    </row>
    <row r="259" spans="1:11" x14ac:dyDescent="0.2">
      <c r="A259" s="43">
        <v>12216</v>
      </c>
      <c r="B259" s="43" t="s">
        <v>1136</v>
      </c>
      <c r="C259" s="43" t="s">
        <v>484</v>
      </c>
      <c r="D259" s="43" t="s">
        <v>1066</v>
      </c>
      <c r="E259" s="43" t="s">
        <v>1137</v>
      </c>
      <c r="F259" s="43" t="s">
        <v>1138</v>
      </c>
      <c r="G259" s="43">
        <v>2.0299999999999998</v>
      </c>
      <c r="H259" s="43" t="s">
        <v>131</v>
      </c>
      <c r="I259" s="43" t="s">
        <v>124</v>
      </c>
      <c r="J259" s="43" t="s">
        <v>270</v>
      </c>
      <c r="K259" s="43" t="s">
        <v>124</v>
      </c>
    </row>
    <row r="260" spans="1:11" x14ac:dyDescent="0.2">
      <c r="A260" s="43">
        <v>12244</v>
      </c>
      <c r="B260" s="43" t="s">
        <v>1139</v>
      </c>
      <c r="C260" s="43" t="s">
        <v>1140</v>
      </c>
      <c r="D260" s="43" t="s">
        <v>169</v>
      </c>
      <c r="E260" s="43" t="s">
        <v>1141</v>
      </c>
      <c r="F260" s="43" t="s">
        <v>1142</v>
      </c>
      <c r="G260" s="43">
        <v>2.2000000000000002</v>
      </c>
      <c r="H260" s="43" t="s">
        <v>123</v>
      </c>
      <c r="I260" s="43" t="s">
        <v>117</v>
      </c>
      <c r="K260" s="43" t="s">
        <v>117</v>
      </c>
    </row>
    <row r="261" spans="1:11" x14ac:dyDescent="0.2">
      <c r="A261" s="43">
        <v>12257</v>
      </c>
      <c r="B261" s="43" t="s">
        <v>1143</v>
      </c>
      <c r="C261" s="43" t="s">
        <v>1144</v>
      </c>
      <c r="D261" s="43" t="s">
        <v>230</v>
      </c>
      <c r="E261" s="43" t="s">
        <v>1145</v>
      </c>
      <c r="F261" s="43" t="s">
        <v>1146</v>
      </c>
      <c r="G261" s="43">
        <v>3.79</v>
      </c>
      <c r="H261" s="43" t="s">
        <v>131</v>
      </c>
      <c r="I261" s="43" t="s">
        <v>117</v>
      </c>
      <c r="K261" s="43" t="s">
        <v>124</v>
      </c>
    </row>
    <row r="262" spans="1:11" x14ac:dyDescent="0.2">
      <c r="A262" s="43">
        <v>12258</v>
      </c>
      <c r="B262" s="43" t="s">
        <v>1147</v>
      </c>
      <c r="C262" s="43" t="s">
        <v>1148</v>
      </c>
      <c r="D262" s="43" t="s">
        <v>303</v>
      </c>
      <c r="E262" s="43" t="s">
        <v>1149</v>
      </c>
      <c r="F262" s="43" t="s">
        <v>1150</v>
      </c>
      <c r="G262" s="43">
        <v>2.64</v>
      </c>
      <c r="H262" s="43" t="s">
        <v>116</v>
      </c>
      <c r="I262" s="43" t="s">
        <v>117</v>
      </c>
      <c r="K262" s="43" t="s">
        <v>124</v>
      </c>
    </row>
    <row r="263" spans="1:11" x14ac:dyDescent="0.2">
      <c r="A263" s="43">
        <v>12277</v>
      </c>
      <c r="B263" s="43" t="s">
        <v>1151</v>
      </c>
      <c r="C263" s="43" t="s">
        <v>1152</v>
      </c>
      <c r="D263" s="43" t="s">
        <v>213</v>
      </c>
      <c r="E263" s="43" t="s">
        <v>1153</v>
      </c>
      <c r="F263" s="43" t="s">
        <v>1154</v>
      </c>
      <c r="G263" s="43">
        <v>3.53</v>
      </c>
      <c r="H263" s="43" t="s">
        <v>116</v>
      </c>
      <c r="I263" s="43" t="s">
        <v>117</v>
      </c>
      <c r="K263" s="43" t="s">
        <v>117</v>
      </c>
    </row>
    <row r="264" spans="1:11" x14ac:dyDescent="0.2">
      <c r="A264" s="43">
        <v>12332</v>
      </c>
      <c r="B264" s="43" t="s">
        <v>1155</v>
      </c>
      <c r="C264" s="43" t="s">
        <v>1156</v>
      </c>
      <c r="D264" s="43" t="s">
        <v>199</v>
      </c>
      <c r="E264" s="43" t="s">
        <v>1157</v>
      </c>
      <c r="F264" s="43" t="s">
        <v>1158</v>
      </c>
      <c r="G264" s="43">
        <v>2.86</v>
      </c>
      <c r="H264" s="43" t="s">
        <v>123</v>
      </c>
      <c r="I264" s="43" t="s">
        <v>117</v>
      </c>
      <c r="K264" s="43" t="s">
        <v>117</v>
      </c>
    </row>
    <row r="265" spans="1:11" x14ac:dyDescent="0.2">
      <c r="A265" s="43">
        <v>12364</v>
      </c>
      <c r="B265" s="43" t="s">
        <v>1159</v>
      </c>
      <c r="C265" s="43" t="s">
        <v>1160</v>
      </c>
      <c r="D265" s="43" t="s">
        <v>169</v>
      </c>
      <c r="E265" s="43" t="s">
        <v>1161</v>
      </c>
      <c r="F265" s="43" t="s">
        <v>1162</v>
      </c>
      <c r="G265" s="43">
        <v>2.81</v>
      </c>
      <c r="H265" s="43" t="s">
        <v>131</v>
      </c>
      <c r="I265" s="43" t="s">
        <v>124</v>
      </c>
      <c r="J265" s="43" t="s">
        <v>654</v>
      </c>
      <c r="K265" s="43" t="s">
        <v>124</v>
      </c>
    </row>
    <row r="266" spans="1:11" x14ac:dyDescent="0.2">
      <c r="A266" s="43">
        <v>12383</v>
      </c>
      <c r="B266" s="43" t="s">
        <v>1163</v>
      </c>
      <c r="C266" s="43" t="s">
        <v>1164</v>
      </c>
      <c r="D266" s="43" t="s">
        <v>634</v>
      </c>
      <c r="E266" s="43" t="s">
        <v>1165</v>
      </c>
      <c r="F266" s="43" t="s">
        <v>1166</v>
      </c>
      <c r="G266" s="43">
        <v>2.41</v>
      </c>
      <c r="H266" s="43" t="s">
        <v>131</v>
      </c>
      <c r="I266" s="43" t="s">
        <v>117</v>
      </c>
      <c r="K266" s="43" t="s">
        <v>117</v>
      </c>
    </row>
    <row r="267" spans="1:11" x14ac:dyDescent="0.2">
      <c r="A267" s="43">
        <v>12393</v>
      </c>
      <c r="B267" s="43" t="s">
        <v>1167</v>
      </c>
      <c r="C267" s="43" t="s">
        <v>1168</v>
      </c>
      <c r="D267" s="43" t="s">
        <v>591</v>
      </c>
      <c r="E267" s="43" t="s">
        <v>1169</v>
      </c>
      <c r="F267" s="43" t="s">
        <v>1170</v>
      </c>
      <c r="G267" s="43">
        <v>3.94</v>
      </c>
      <c r="H267" s="43" t="s">
        <v>156</v>
      </c>
      <c r="I267" s="43" t="s">
        <v>117</v>
      </c>
      <c r="K267" s="43" t="s">
        <v>117</v>
      </c>
    </row>
    <row r="268" spans="1:11" x14ac:dyDescent="0.2">
      <c r="A268" s="43">
        <v>12402</v>
      </c>
      <c r="B268" s="43" t="s">
        <v>1171</v>
      </c>
      <c r="C268" s="43" t="s">
        <v>1172</v>
      </c>
      <c r="D268" s="43" t="s">
        <v>144</v>
      </c>
      <c r="E268" s="43" t="s">
        <v>1173</v>
      </c>
      <c r="F268" s="43" t="s">
        <v>1174</v>
      </c>
      <c r="G268" s="43">
        <v>2.0299999999999998</v>
      </c>
      <c r="H268" s="43" t="s">
        <v>116</v>
      </c>
      <c r="I268" s="43" t="s">
        <v>117</v>
      </c>
      <c r="K268" s="43" t="s">
        <v>124</v>
      </c>
    </row>
    <row r="269" spans="1:11" x14ac:dyDescent="0.2">
      <c r="A269" s="43">
        <v>113890</v>
      </c>
      <c r="B269" s="43" t="s">
        <v>1175</v>
      </c>
      <c r="C269" s="43" t="s">
        <v>1176</v>
      </c>
      <c r="D269" s="43" t="s">
        <v>208</v>
      </c>
      <c r="E269" s="43" t="s">
        <v>1177</v>
      </c>
      <c r="F269" s="43" t="s">
        <v>1178</v>
      </c>
      <c r="G269" s="43">
        <v>2.86</v>
      </c>
      <c r="H269" s="43" t="s">
        <v>1179</v>
      </c>
      <c r="I269" s="43" t="s">
        <v>124</v>
      </c>
      <c r="J269" s="43" t="s">
        <v>1180</v>
      </c>
    </row>
    <row r="270" spans="1:11" x14ac:dyDescent="0.2">
      <c r="A270" s="43">
        <v>118630</v>
      </c>
      <c r="B270" s="43" t="s">
        <v>1028</v>
      </c>
      <c r="C270" s="43" t="s">
        <v>1181</v>
      </c>
      <c r="D270" s="43" t="s">
        <v>911</v>
      </c>
      <c r="E270" s="43" t="s">
        <v>1182</v>
      </c>
      <c r="F270" s="43" t="s">
        <v>1183</v>
      </c>
      <c r="G270" s="43">
        <v>2.81</v>
      </c>
      <c r="H270" s="43" t="s">
        <v>1179</v>
      </c>
      <c r="I270" s="43" t="s">
        <v>117</v>
      </c>
    </row>
    <row r="271" spans="1:11" x14ac:dyDescent="0.2">
      <c r="A271" s="43">
        <v>244837</v>
      </c>
      <c r="B271" s="43" t="s">
        <v>1184</v>
      </c>
      <c r="C271" s="43" t="s">
        <v>1185</v>
      </c>
      <c r="D271" s="43" t="s">
        <v>697</v>
      </c>
      <c r="E271" s="43" t="s">
        <v>1186</v>
      </c>
      <c r="F271" s="43" t="s">
        <v>1187</v>
      </c>
      <c r="G271" s="43">
        <v>3.53</v>
      </c>
      <c r="H271" s="43" t="s">
        <v>1179</v>
      </c>
      <c r="I271" s="43" t="s">
        <v>117</v>
      </c>
    </row>
    <row r="272" spans="1:11" x14ac:dyDescent="0.2">
      <c r="A272" s="43">
        <v>306800</v>
      </c>
      <c r="B272" s="43" t="s">
        <v>1188</v>
      </c>
      <c r="C272" s="43" t="s">
        <v>1189</v>
      </c>
      <c r="D272" s="43" t="s">
        <v>113</v>
      </c>
      <c r="E272" s="43" t="s">
        <v>1190</v>
      </c>
      <c r="F272" s="43" t="s">
        <v>1191</v>
      </c>
      <c r="G272" s="43">
        <v>2.86</v>
      </c>
      <c r="H272" s="43" t="s">
        <v>1179</v>
      </c>
      <c r="I272" s="43" t="s">
        <v>124</v>
      </c>
      <c r="J272" s="43" t="s">
        <v>793</v>
      </c>
    </row>
    <row r="273" spans="1:9" x14ac:dyDescent="0.2">
      <c r="A273" s="43">
        <v>330440</v>
      </c>
      <c r="B273" s="43" t="s">
        <v>1192</v>
      </c>
      <c r="C273" s="43" t="s">
        <v>1193</v>
      </c>
      <c r="D273" s="43" t="s">
        <v>248</v>
      </c>
      <c r="E273" s="43" t="s">
        <v>1194</v>
      </c>
      <c r="F273" s="43" t="s">
        <v>1195</v>
      </c>
      <c r="G273" s="43">
        <v>2.0299999999999998</v>
      </c>
      <c r="H273" s="43" t="s">
        <v>1179</v>
      </c>
      <c r="I273" s="43" t="s">
        <v>117</v>
      </c>
    </row>
    <row r="274" spans="1:9" x14ac:dyDescent="0.2">
      <c r="A274" s="43">
        <v>353066</v>
      </c>
      <c r="B274" s="43" t="s">
        <v>1196</v>
      </c>
      <c r="C274" s="43" t="s">
        <v>1197</v>
      </c>
      <c r="D274" s="43" t="s">
        <v>367</v>
      </c>
      <c r="E274" s="43" t="s">
        <v>1198</v>
      </c>
      <c r="F274" s="43" t="s">
        <v>1199</v>
      </c>
      <c r="G274" s="43">
        <v>2.2000000000000002</v>
      </c>
      <c r="H274" s="43" t="s">
        <v>1179</v>
      </c>
      <c r="I274" s="43" t="s">
        <v>117</v>
      </c>
    </row>
    <row r="275" spans="1:9" x14ac:dyDescent="0.2">
      <c r="A275" s="43">
        <v>373213</v>
      </c>
      <c r="B275" s="43" t="s">
        <v>1200</v>
      </c>
      <c r="C275" s="43" t="s">
        <v>972</v>
      </c>
      <c r="D275" s="43" t="s">
        <v>178</v>
      </c>
      <c r="E275" s="43" t="s">
        <v>1201</v>
      </c>
      <c r="F275" s="43" t="s">
        <v>1202</v>
      </c>
      <c r="G275" s="43">
        <v>3.53</v>
      </c>
      <c r="H275" s="43" t="s">
        <v>1179</v>
      </c>
      <c r="I275" s="43" t="s">
        <v>117</v>
      </c>
    </row>
    <row r="276" spans="1:9" x14ac:dyDescent="0.2">
      <c r="A276" s="43">
        <v>389607</v>
      </c>
      <c r="B276" s="43" t="s">
        <v>1203</v>
      </c>
      <c r="C276" s="43" t="s">
        <v>1204</v>
      </c>
      <c r="D276" s="43" t="s">
        <v>139</v>
      </c>
      <c r="E276" s="43" t="s">
        <v>1205</v>
      </c>
      <c r="F276" s="43" t="s">
        <v>1206</v>
      </c>
      <c r="G276" s="43">
        <v>2.81</v>
      </c>
      <c r="H276" s="43" t="s">
        <v>1179</v>
      </c>
      <c r="I276" s="43" t="s">
        <v>117</v>
      </c>
    </row>
    <row r="277" spans="1:9" x14ac:dyDescent="0.2">
      <c r="A277" s="43">
        <v>485408</v>
      </c>
      <c r="B277" s="43" t="s">
        <v>1207</v>
      </c>
      <c r="C277" s="43" t="s">
        <v>1208</v>
      </c>
      <c r="D277" s="43" t="s">
        <v>277</v>
      </c>
      <c r="E277" s="43" t="s">
        <v>1209</v>
      </c>
      <c r="F277" s="43" t="s">
        <v>1210</v>
      </c>
      <c r="G277" s="43">
        <v>2.41</v>
      </c>
      <c r="H277" s="43" t="s">
        <v>1179</v>
      </c>
      <c r="I277" s="43" t="s">
        <v>117</v>
      </c>
    </row>
    <row r="278" spans="1:9" x14ac:dyDescent="0.2">
      <c r="A278" s="43">
        <v>509164</v>
      </c>
      <c r="B278" s="43" t="s">
        <v>410</v>
      </c>
      <c r="C278" s="43" t="s">
        <v>1211</v>
      </c>
      <c r="D278" s="43" t="s">
        <v>120</v>
      </c>
      <c r="E278" s="43" t="s">
        <v>1212</v>
      </c>
      <c r="F278" s="43" t="s">
        <v>1213</v>
      </c>
      <c r="G278" s="43">
        <v>2.41</v>
      </c>
      <c r="H278" s="43" t="s">
        <v>1179</v>
      </c>
      <c r="I278" s="43" t="s">
        <v>117</v>
      </c>
    </row>
    <row r="279" spans="1:9" x14ac:dyDescent="0.2">
      <c r="A279" s="43">
        <v>526993</v>
      </c>
      <c r="B279" s="43" t="s">
        <v>998</v>
      </c>
      <c r="C279" s="43" t="s">
        <v>1214</v>
      </c>
      <c r="D279" s="43" t="s">
        <v>1066</v>
      </c>
      <c r="E279" s="43" t="s">
        <v>1215</v>
      </c>
      <c r="F279" s="43" t="s">
        <v>1216</v>
      </c>
      <c r="G279" s="43">
        <v>2.2000000000000002</v>
      </c>
      <c r="H279" s="43" t="s">
        <v>1179</v>
      </c>
      <c r="I279" s="43" t="s">
        <v>117</v>
      </c>
    </row>
    <row r="280" spans="1:9" x14ac:dyDescent="0.2">
      <c r="A280" s="43">
        <v>530930</v>
      </c>
      <c r="B280" s="43" t="s">
        <v>1217</v>
      </c>
      <c r="C280" s="43" t="s">
        <v>1218</v>
      </c>
      <c r="D280" s="43" t="s">
        <v>446</v>
      </c>
      <c r="E280" s="43" t="s">
        <v>1219</v>
      </c>
      <c r="F280" s="43" t="s">
        <v>1220</v>
      </c>
      <c r="G280" s="43">
        <v>3.94</v>
      </c>
      <c r="H280" s="43" t="s">
        <v>1179</v>
      </c>
      <c r="I280" s="43" t="s">
        <v>117</v>
      </c>
    </row>
    <row r="281" spans="1:9" x14ac:dyDescent="0.2">
      <c r="A281" s="43">
        <v>666780</v>
      </c>
      <c r="B281" s="43" t="s">
        <v>1221</v>
      </c>
      <c r="C281" s="43" t="s">
        <v>1222</v>
      </c>
      <c r="D281" s="43" t="s">
        <v>390</v>
      </c>
      <c r="E281" s="43" t="s">
        <v>1223</v>
      </c>
      <c r="F281" s="43" t="s">
        <v>1224</v>
      </c>
      <c r="G281" s="43">
        <v>3.79</v>
      </c>
      <c r="H281" s="43" t="s">
        <v>1179</v>
      </c>
      <c r="I281" s="43" t="s">
        <v>117</v>
      </c>
    </row>
    <row r="282" spans="1:9" x14ac:dyDescent="0.2">
      <c r="A282" s="43">
        <v>835616</v>
      </c>
      <c r="B282" s="43" t="s">
        <v>1225</v>
      </c>
      <c r="C282" s="43" t="s">
        <v>342</v>
      </c>
      <c r="D282" s="43" t="s">
        <v>208</v>
      </c>
      <c r="E282" s="43" t="s">
        <v>1226</v>
      </c>
      <c r="F282" s="43" t="s">
        <v>1227</v>
      </c>
      <c r="G282" s="43">
        <v>3.79</v>
      </c>
      <c r="H282" s="43" t="s">
        <v>1179</v>
      </c>
      <c r="I282" s="43" t="s">
        <v>117</v>
      </c>
    </row>
    <row r="283" spans="1:9" x14ac:dyDescent="0.2">
      <c r="A283" s="43">
        <v>970483</v>
      </c>
      <c r="B283" s="43" t="s">
        <v>933</v>
      </c>
      <c r="C283" s="43" t="s">
        <v>1228</v>
      </c>
      <c r="D283" s="43" t="s">
        <v>248</v>
      </c>
      <c r="E283" s="43" t="s">
        <v>1229</v>
      </c>
      <c r="F283" s="43" t="s">
        <v>1230</v>
      </c>
      <c r="G283" s="43">
        <v>3.94</v>
      </c>
      <c r="H283" s="43" t="s">
        <v>1179</v>
      </c>
      <c r="I283" s="43" t="s">
        <v>117</v>
      </c>
    </row>
    <row r="284" spans="1:9" x14ac:dyDescent="0.2">
      <c r="A284" s="43">
        <v>981047</v>
      </c>
      <c r="B284" s="43" t="s">
        <v>297</v>
      </c>
      <c r="C284" s="43" t="s">
        <v>1231</v>
      </c>
      <c r="D284" s="43" t="s">
        <v>495</v>
      </c>
      <c r="E284" s="43" t="s">
        <v>1232</v>
      </c>
      <c r="F284" s="43" t="s">
        <v>1233</v>
      </c>
      <c r="G284" s="43">
        <v>2.64</v>
      </c>
      <c r="H284" s="43" t="s">
        <v>1179</v>
      </c>
      <c r="I284" s="43" t="s">
        <v>117</v>
      </c>
    </row>
    <row r="285" spans="1:9" x14ac:dyDescent="0.2">
      <c r="A285" s="43">
        <v>988777</v>
      </c>
      <c r="B285" s="43" t="s">
        <v>1143</v>
      </c>
      <c r="C285" s="43" t="s">
        <v>1234</v>
      </c>
      <c r="D285" s="43" t="s">
        <v>390</v>
      </c>
      <c r="E285" s="43" t="s">
        <v>1235</v>
      </c>
      <c r="F285" s="43" t="s">
        <v>1236</v>
      </c>
      <c r="G285" s="43">
        <v>2.64</v>
      </c>
      <c r="H285" s="43" t="s">
        <v>1179</v>
      </c>
      <c r="I285" s="43" t="s">
        <v>117</v>
      </c>
    </row>
  </sheetData>
  <mergeCells count="2">
    <mergeCell ref="C6:K8"/>
    <mergeCell ref="C9:K9"/>
  </mergeCells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25"/>
  <sheetViews>
    <sheetView workbookViewId="0"/>
  </sheetViews>
  <sheetFormatPr defaultColWidth="8.85546875" defaultRowHeight="15" x14ac:dyDescent="0.25"/>
  <cols>
    <col min="1" max="1" width="2.28515625" customWidth="1"/>
    <col min="3" max="3" width="10.42578125" bestFit="1" customWidth="1"/>
    <col min="4" max="4" width="11.85546875" bestFit="1" customWidth="1"/>
    <col min="5" max="5" width="6.140625" customWidth="1"/>
    <col min="6" max="6" width="6.42578125" bestFit="1" customWidth="1"/>
    <col min="7" max="7" width="23.7109375" bestFit="1" customWidth="1"/>
    <col min="8" max="8" width="10" bestFit="1" customWidth="1"/>
    <col min="9" max="9" width="10.42578125" bestFit="1" customWidth="1"/>
    <col min="11" max="13" width="15" customWidth="1"/>
    <col min="14" max="14" width="23.7109375" bestFit="1" customWidth="1"/>
    <col min="15" max="15" width="15" customWidth="1"/>
    <col min="16" max="16" width="16.85546875" bestFit="1" customWidth="1"/>
  </cols>
  <sheetData>
    <row r="1" spans="2:17" ht="12" customHeight="1" thickBot="1" x14ac:dyDescent="0.3"/>
    <row r="2" spans="2:17" ht="19.5" thickTop="1" x14ac:dyDescent="0.3">
      <c r="B2" s="1"/>
      <c r="C2" s="85" t="s">
        <v>54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6"/>
    </row>
    <row r="3" spans="2:17" ht="15.75" thickBot="1" x14ac:dyDescent="0.3">
      <c r="B3" s="3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</row>
    <row r="4" spans="2:17" ht="15.75" thickTop="1" x14ac:dyDescent="0.25"/>
    <row r="6" spans="2:17" x14ac:dyDescent="0.25">
      <c r="C6" s="9" t="s">
        <v>29</v>
      </c>
      <c r="D6" s="9" t="s">
        <v>30</v>
      </c>
      <c r="F6" s="9" t="s">
        <v>31</v>
      </c>
      <c r="G6" s="9" t="s">
        <v>32</v>
      </c>
      <c r="H6" s="10" t="s">
        <v>33</v>
      </c>
      <c r="I6" s="10" t="s">
        <v>34</v>
      </c>
      <c r="K6" s="42" t="s">
        <v>42</v>
      </c>
      <c r="L6" s="42" t="s">
        <v>43</v>
      </c>
      <c r="M6" s="42" t="s">
        <v>44</v>
      </c>
      <c r="N6" s="42" t="s">
        <v>32</v>
      </c>
      <c r="O6" s="42" t="s">
        <v>45</v>
      </c>
      <c r="P6" s="42" t="s">
        <v>93</v>
      </c>
    </row>
    <row r="7" spans="2:17" x14ac:dyDescent="0.25">
      <c r="C7" s="11">
        <v>6499</v>
      </c>
      <c r="D7" s="12">
        <v>2.5000000000000001E-2</v>
      </c>
      <c r="F7" s="13">
        <v>101</v>
      </c>
      <c r="G7" s="14" t="s">
        <v>35</v>
      </c>
      <c r="H7" s="15">
        <v>42897</v>
      </c>
      <c r="I7" s="16">
        <v>6699</v>
      </c>
      <c r="K7" t="s">
        <v>46</v>
      </c>
      <c r="L7" s="38">
        <v>10001</v>
      </c>
      <c r="M7" s="38">
        <v>201</v>
      </c>
      <c r="N7" t="str">
        <f>VLOOKUP(M7,'Lookup Tables'!$F$7:$I$13,2)</f>
        <v>South Africa by Train</v>
      </c>
      <c r="O7" s="39">
        <f>VLOOKUP(M7, 'Lookup Tables'!$F$7:$I$13, 3)</f>
        <v>42920</v>
      </c>
      <c r="P7">
        <f>VLOOKUP(M7, 'Lookup Tables'!$F$7:$I$13, 4)</f>
        <v>6999</v>
      </c>
    </row>
    <row r="8" spans="2:17" x14ac:dyDescent="0.25">
      <c r="C8" s="11">
        <v>6699</v>
      </c>
      <c r="D8" s="12">
        <v>0.03</v>
      </c>
      <c r="F8" s="13">
        <v>201</v>
      </c>
      <c r="G8" s="14" t="s">
        <v>36</v>
      </c>
      <c r="H8" s="17">
        <v>42920</v>
      </c>
      <c r="I8" s="16">
        <v>6999</v>
      </c>
      <c r="K8" t="s">
        <v>47</v>
      </c>
      <c r="L8" s="38">
        <v>10002</v>
      </c>
      <c r="M8" s="38">
        <v>301</v>
      </c>
      <c r="N8" t="str">
        <f>VLOOKUP(M8,'Lookup Tables'!$F$7:$I$13,2)</f>
        <v>Kruger National Park</v>
      </c>
      <c r="O8" s="39">
        <f>VLOOKUP(M8, 'Lookup Tables'!$F$7:$I$13, 3)</f>
        <v>42897</v>
      </c>
      <c r="P8">
        <f>VLOOKUP(M8, 'Lookup Tables'!$F$7:$I$13, 4)</f>
        <v>7199</v>
      </c>
    </row>
    <row r="9" spans="2:17" x14ac:dyDescent="0.25">
      <c r="C9" s="11">
        <v>6999</v>
      </c>
      <c r="D9" s="12">
        <v>3.5000000000000003E-2</v>
      </c>
      <c r="F9" s="13">
        <v>301</v>
      </c>
      <c r="G9" s="14" t="s">
        <v>37</v>
      </c>
      <c r="H9" s="17">
        <v>42897</v>
      </c>
      <c r="I9" s="16">
        <v>7199</v>
      </c>
      <c r="K9" t="s">
        <v>46</v>
      </c>
      <c r="L9" s="38">
        <v>10003</v>
      </c>
      <c r="M9" s="38">
        <v>101</v>
      </c>
      <c r="N9" t="str">
        <f>VLOOKUP(M9,'Lookup Tables'!$F$7:$I$13,2)</f>
        <v>Cape Town</v>
      </c>
      <c r="O9" s="39">
        <f>VLOOKUP(M9, 'Lookup Tables'!$F$7:$I$13, 3)</f>
        <v>42897</v>
      </c>
      <c r="P9">
        <f>VLOOKUP(M9, 'Lookup Tables'!$F$7:$I$13, 4)</f>
        <v>6699</v>
      </c>
    </row>
    <row r="10" spans="2:17" x14ac:dyDescent="0.25">
      <c r="C10" s="11">
        <v>7199</v>
      </c>
      <c r="D10" s="12">
        <v>0.04</v>
      </c>
      <c r="F10" s="13">
        <v>401</v>
      </c>
      <c r="G10" s="14" t="s">
        <v>38</v>
      </c>
      <c r="H10" s="17">
        <v>42904</v>
      </c>
      <c r="I10" s="16">
        <v>8599</v>
      </c>
      <c r="K10" t="s">
        <v>48</v>
      </c>
      <c r="L10" s="38">
        <v>10004</v>
      </c>
      <c r="M10" s="38">
        <v>501</v>
      </c>
      <c r="N10" t="str">
        <f>VLOOKUP(M10,'Lookup Tables'!$F$7:$I$13,2)</f>
        <v>Sabi Sand Reserve</v>
      </c>
      <c r="O10" s="39">
        <f>VLOOKUP(M10, 'Lookup Tables'!$F$7:$I$13, 3)</f>
        <v>42911</v>
      </c>
      <c r="P10">
        <f>VLOOKUP(M10, 'Lookup Tables'!$F$7:$I$13, 4)</f>
        <v>7299</v>
      </c>
    </row>
    <row r="11" spans="2:17" x14ac:dyDescent="0.25">
      <c r="C11" s="11">
        <v>7299</v>
      </c>
      <c r="D11" s="12">
        <v>4.4999999999999998E-2</v>
      </c>
      <c r="F11" s="13">
        <v>501</v>
      </c>
      <c r="G11" s="14" t="s">
        <v>39</v>
      </c>
      <c r="H11" s="17">
        <v>42911</v>
      </c>
      <c r="I11" s="16">
        <v>7299</v>
      </c>
      <c r="K11" t="s">
        <v>49</v>
      </c>
      <c r="L11" s="38">
        <v>10005</v>
      </c>
      <c r="M11" s="38">
        <v>601</v>
      </c>
      <c r="N11" t="str">
        <f>VLOOKUP(M11,'Lookup Tables'!$F$7:$I$13,2)</f>
        <v>All Durban!</v>
      </c>
      <c r="O11" s="39">
        <f>VLOOKUP(M11, 'Lookup Tables'!$F$7:$I$13, 3)</f>
        <v>42897</v>
      </c>
      <c r="P11">
        <f>VLOOKUP(M11, 'Lookup Tables'!$F$7:$I$13, 4)</f>
        <v>6499</v>
      </c>
    </row>
    <row r="12" spans="2:17" x14ac:dyDescent="0.25">
      <c r="C12" s="11">
        <v>8599</v>
      </c>
      <c r="D12" s="12">
        <v>0.05</v>
      </c>
      <c r="F12" s="13">
        <v>601</v>
      </c>
      <c r="G12" s="14" t="s">
        <v>40</v>
      </c>
      <c r="H12" s="17">
        <v>42897</v>
      </c>
      <c r="I12" s="16">
        <v>6499</v>
      </c>
      <c r="K12" t="s">
        <v>50</v>
      </c>
      <c r="L12" s="38">
        <v>10006</v>
      </c>
      <c r="M12" s="38">
        <v>701</v>
      </c>
      <c r="N12" t="str">
        <f>VLOOKUP(M12,'Lookup Tables'!$F$7:$I$13,2)</f>
        <v>Outer Kruger Fly-in Safari</v>
      </c>
      <c r="O12" s="39">
        <f>VLOOKUP(M12, 'Lookup Tables'!$F$7:$I$13, 3)</f>
        <v>42911</v>
      </c>
      <c r="P12">
        <f>VLOOKUP(M12, 'Lookup Tables'!$F$7:$I$13, 4)</f>
        <v>9999</v>
      </c>
    </row>
    <row r="13" spans="2:17" x14ac:dyDescent="0.25">
      <c r="C13" s="11">
        <v>9999</v>
      </c>
      <c r="D13" s="12">
        <v>5.5E-2</v>
      </c>
      <c r="F13" s="13">
        <v>701</v>
      </c>
      <c r="G13" s="14" t="s">
        <v>41</v>
      </c>
      <c r="H13" s="17">
        <v>42911</v>
      </c>
      <c r="I13" s="16">
        <v>9999</v>
      </c>
      <c r="K13" t="s">
        <v>47</v>
      </c>
      <c r="L13" s="38">
        <v>10007</v>
      </c>
      <c r="M13" s="38">
        <v>101</v>
      </c>
      <c r="N13" t="str">
        <f>VLOOKUP(M13,'Lookup Tables'!$F$7:$I$13,2)</f>
        <v>Cape Town</v>
      </c>
      <c r="O13" s="39">
        <f>VLOOKUP(M13, 'Lookup Tables'!$F$7:$I$13, 3)</f>
        <v>42897</v>
      </c>
      <c r="P13">
        <f>VLOOKUP(M13, 'Lookup Tables'!$F$7:$I$13, 4)</f>
        <v>6699</v>
      </c>
    </row>
    <row r="14" spans="2:17" x14ac:dyDescent="0.25">
      <c r="C14" s="6"/>
      <c r="D14" s="7"/>
      <c r="E14" s="7"/>
      <c r="F14" s="8"/>
      <c r="G14" s="7"/>
      <c r="K14" t="s">
        <v>49</v>
      </c>
      <c r="L14" s="38">
        <v>10008</v>
      </c>
      <c r="M14" s="38">
        <v>401</v>
      </c>
      <c r="N14" t="str">
        <f>VLOOKUP(M14,'Lookup Tables'!$F$7:$I$13,2)</f>
        <v>Palace of the Lost City</v>
      </c>
      <c r="O14" s="39">
        <f>VLOOKUP(M14, 'Lookup Tables'!$F$7:$I$13, 3)</f>
        <v>42904</v>
      </c>
      <c r="P14">
        <f>VLOOKUP(M14, 'Lookup Tables'!$F$7:$I$13, 4)</f>
        <v>8599</v>
      </c>
    </row>
    <row r="15" spans="2:17" ht="15.75" thickBot="1" x14ac:dyDescent="0.3">
      <c r="C15" s="6"/>
      <c r="D15" s="7"/>
      <c r="E15" s="7"/>
      <c r="F15" s="8"/>
      <c r="G15" s="7"/>
      <c r="K15" t="s">
        <v>48</v>
      </c>
      <c r="L15" s="38">
        <v>10009</v>
      </c>
      <c r="M15" s="38">
        <v>501</v>
      </c>
      <c r="N15" t="str">
        <f>VLOOKUP(M15,'Lookup Tables'!$F$7:$I$13,2)</f>
        <v>Sabi Sand Reserve</v>
      </c>
      <c r="O15" s="39">
        <f>VLOOKUP(M15, 'Lookup Tables'!$F$7:$I$13, 3)</f>
        <v>42911</v>
      </c>
      <c r="P15">
        <f>VLOOKUP(M15, 'Lookup Tables'!$F$7:$I$13, 4)</f>
        <v>7299</v>
      </c>
    </row>
    <row r="16" spans="2:17" x14ac:dyDescent="0.25">
      <c r="E16" s="7"/>
      <c r="F16" s="8"/>
      <c r="G16" s="144" t="s">
        <v>53</v>
      </c>
      <c r="H16" s="145"/>
      <c r="K16" t="s">
        <v>49</v>
      </c>
      <c r="L16" s="38">
        <v>10010</v>
      </c>
      <c r="M16" s="38">
        <v>601</v>
      </c>
      <c r="N16" t="str">
        <f>VLOOKUP(M16,'Lookup Tables'!$F$7:$I$13,2)</f>
        <v>All Durban!</v>
      </c>
      <c r="O16" s="39">
        <f>VLOOKUP(M16, 'Lookup Tables'!$F$7:$I$13, 3)</f>
        <v>42897</v>
      </c>
      <c r="P16">
        <f>VLOOKUP(M16, 'Lookup Tables'!$F$7:$I$13, 4)</f>
        <v>6499</v>
      </c>
    </row>
    <row r="17" spans="3:16" ht="15.75" thickBot="1" x14ac:dyDescent="0.3">
      <c r="E17" s="7"/>
      <c r="F17" s="8"/>
      <c r="G17" s="18" t="s">
        <v>52</v>
      </c>
      <c r="H17" s="19">
        <v>0.19</v>
      </c>
      <c r="K17" t="s">
        <v>50</v>
      </c>
      <c r="L17" s="38">
        <v>10011</v>
      </c>
      <c r="M17" s="38">
        <v>701</v>
      </c>
      <c r="N17" t="str">
        <f>VLOOKUP(M17,'Lookup Tables'!$F$7:$I$13,2)</f>
        <v>Outer Kruger Fly-in Safari</v>
      </c>
      <c r="O17" s="39">
        <f>VLOOKUP(M17, 'Lookup Tables'!$F$7:$I$13, 3)</f>
        <v>42911</v>
      </c>
      <c r="P17">
        <f>VLOOKUP(M17, 'Lookup Tables'!$F$7:$I$13, 4)</f>
        <v>9999</v>
      </c>
    </row>
    <row r="18" spans="3:16" x14ac:dyDescent="0.25">
      <c r="C18" s="6"/>
      <c r="D18" s="7"/>
      <c r="E18" s="7"/>
      <c r="F18" s="8"/>
      <c r="G18" s="7"/>
      <c r="K18" t="s">
        <v>46</v>
      </c>
      <c r="L18" s="38">
        <v>10012</v>
      </c>
      <c r="M18" s="38">
        <v>201</v>
      </c>
      <c r="N18" t="str">
        <f>VLOOKUP(M18,'Lookup Tables'!$F$7:$I$13,2)</f>
        <v>South Africa by Train</v>
      </c>
      <c r="O18" s="39">
        <f>VLOOKUP(M18, 'Lookup Tables'!$F$7:$I$13, 3)</f>
        <v>42920</v>
      </c>
      <c r="P18">
        <f>VLOOKUP(M18, 'Lookup Tables'!$F$7:$I$13, 4)</f>
        <v>6999</v>
      </c>
    </row>
    <row r="19" spans="3:16" x14ac:dyDescent="0.25">
      <c r="C19" s="6"/>
      <c r="D19" s="7"/>
      <c r="E19" s="7"/>
      <c r="F19" s="8"/>
      <c r="G19" s="7"/>
      <c r="K19" t="s">
        <v>51</v>
      </c>
      <c r="L19" s="38">
        <v>10013</v>
      </c>
      <c r="M19" s="38">
        <v>401</v>
      </c>
      <c r="N19" t="str">
        <f>VLOOKUP(M19,'Lookup Tables'!$F$7:$I$13,2)</f>
        <v>Palace of the Lost City</v>
      </c>
      <c r="O19" s="39">
        <f>VLOOKUP(M19, 'Lookup Tables'!$F$7:$I$13, 3)</f>
        <v>42904</v>
      </c>
      <c r="P19">
        <f>VLOOKUP(M19, 'Lookup Tables'!$F$7:$I$13, 4)</f>
        <v>8599</v>
      </c>
    </row>
    <row r="20" spans="3:16" x14ac:dyDescent="0.25">
      <c r="C20" s="6"/>
      <c r="D20" s="7"/>
      <c r="E20" s="7"/>
      <c r="F20" s="8"/>
      <c r="G20" s="7"/>
    </row>
    <row r="21" spans="3:16" x14ac:dyDescent="0.25">
      <c r="C21" s="6"/>
      <c r="D21" s="7"/>
      <c r="E21" s="7"/>
      <c r="F21" s="8"/>
      <c r="G21" s="7"/>
    </row>
    <row r="22" spans="3:16" x14ac:dyDescent="0.25">
      <c r="C22" s="6"/>
      <c r="D22" s="7"/>
      <c r="E22" s="7"/>
      <c r="F22" s="8"/>
      <c r="G22" s="7"/>
    </row>
    <row r="23" spans="3:16" x14ac:dyDescent="0.25">
      <c r="C23" s="6"/>
      <c r="D23" s="7"/>
      <c r="E23" s="7"/>
      <c r="F23" s="8"/>
      <c r="G23" s="7"/>
    </row>
    <row r="24" spans="3:16" x14ac:dyDescent="0.25">
      <c r="C24" s="6"/>
      <c r="D24" s="7"/>
      <c r="E24" s="7"/>
      <c r="F24" s="8"/>
      <c r="G24" s="7"/>
    </row>
    <row r="25" spans="3:16" x14ac:dyDescent="0.25">
      <c r="C25" s="6"/>
      <c r="D25" s="7"/>
      <c r="E25" s="7"/>
      <c r="F25" s="8"/>
      <c r="G25" s="7"/>
    </row>
  </sheetData>
  <mergeCells count="3">
    <mergeCell ref="G16:H16"/>
    <mergeCell ref="C3:Q3"/>
    <mergeCell ref="C2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Start Instructions</vt:lpstr>
      <vt:lpstr>Project 1</vt:lpstr>
      <vt:lpstr>Project 2</vt:lpstr>
      <vt:lpstr>Project 3</vt:lpstr>
      <vt:lpstr>Project 4</vt:lpstr>
      <vt:lpstr>Project 5</vt:lpstr>
      <vt:lpstr>Project 6</vt:lpstr>
      <vt:lpstr>Project 7</vt:lpstr>
      <vt:lpstr>Lookup Tables</vt:lpstr>
      <vt:lpstr>'Project 6'!NewPrice</vt:lpstr>
      <vt:lpstr>NewPrice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Pendleton</dc:creator>
  <dc:description/>
  <cp:lastModifiedBy>Promise Beshel</cp:lastModifiedBy>
  <dcterms:created xsi:type="dcterms:W3CDTF">2017-07-13T21:13:45Z</dcterms:created>
  <dcterms:modified xsi:type="dcterms:W3CDTF">2025-12-02T14:37:48Z</dcterms:modified>
</cp:coreProperties>
</file>