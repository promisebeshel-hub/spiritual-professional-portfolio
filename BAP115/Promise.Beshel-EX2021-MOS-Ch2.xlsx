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PivotChartFilter="1" autoCompressPictures="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02451A4-000D-4E36-8856-414C294655C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y Region" sheetId="4" r:id="rId1"/>
    <sheet name="Sales Data" sheetId="2" r:id="rId2"/>
    <sheet name="Sales Analysis" sheetId="6" r:id="rId3"/>
    <sheet name="Sales Template" sheetId="5" r:id="rId4"/>
  </sheets>
  <definedNames>
    <definedName name="Region_1">'By Region'!$B$3:$B$7</definedName>
    <definedName name="Region_2">'By Region'!$C$3:$C$7</definedName>
    <definedName name="Region_3">'By Region'!$D$3:$D$7</definedName>
    <definedName name="Region_4">'By Region'!$E$3:$E$7</definedName>
    <definedName name="Region1Total">'By Region'!$B$8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D8" i="4"/>
  <c r="E8" i="4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B8" i="4"/>
  <c r="H3" i="2"/>
  <c r="H25" i="2" l="1"/>
  <c r="H14" i="2"/>
  <c r="H13" i="2"/>
  <c r="H10" i="2"/>
  <c r="H29" i="2"/>
  <c r="H19" i="2"/>
  <c r="H16" i="2"/>
  <c r="H8" i="2"/>
  <c r="H9" i="2"/>
  <c r="H4" i="2"/>
  <c r="H35" i="2"/>
  <c r="H7" i="2"/>
  <c r="H6" i="2"/>
  <c r="H36" i="2"/>
  <c r="H34" i="2"/>
  <c r="H33" i="2"/>
  <c r="H31" i="2"/>
  <c r="H27" i="2"/>
  <c r="H28" i="2"/>
  <c r="H24" i="2"/>
  <c r="H20" i="2"/>
  <c r="H17" i="2"/>
  <c r="H37" i="2"/>
  <c r="H30" i="2"/>
  <c r="H26" i="2"/>
  <c r="H23" i="2"/>
  <c r="H22" i="2"/>
  <c r="H21" i="2"/>
  <c r="H18" i="2"/>
  <c r="H15" i="2"/>
  <c r="H12" i="2"/>
  <c r="H11" i="2"/>
  <c r="H5" i="2"/>
  <c r="H32" i="2"/>
</calcChain>
</file>

<file path=xl/sharedStrings.xml><?xml version="1.0" encoding="utf-8"?>
<sst xmlns="http://schemas.openxmlformats.org/spreadsheetml/2006/main" count="333" uniqueCount="47">
  <si>
    <t>OrderDate</t>
  </si>
  <si>
    <t>Region</t>
  </si>
  <si>
    <t>Jones</t>
  </si>
  <si>
    <t>Jardine</t>
  </si>
  <si>
    <t>Gill</t>
  </si>
  <si>
    <t>Andrews</t>
  </si>
  <si>
    <t>Thompson</t>
  </si>
  <si>
    <t>Morgan</t>
  </si>
  <si>
    <t>Howard</t>
  </si>
  <si>
    <t>Smith</t>
  </si>
  <si>
    <t>California</t>
  </si>
  <si>
    <t>Oregon</t>
  </si>
  <si>
    <t>Washington</t>
  </si>
  <si>
    <t>Jarez</t>
  </si>
  <si>
    <t>Vosburger</t>
  </si>
  <si>
    <t>Green</t>
  </si>
  <si>
    <t>Gracie</t>
  </si>
  <si>
    <t>Avone</t>
  </si>
  <si>
    <t>Sperry</t>
  </si>
  <si>
    <t>Shoe</t>
  </si>
  <si>
    <t>Darla</t>
  </si>
  <si>
    <t>Flip</t>
  </si>
  <si>
    <t># of Pairs</t>
  </si>
  <si>
    <t>Total Sale</t>
  </si>
  <si>
    <t xml:space="preserve"> Price Per Pair</t>
  </si>
  <si>
    <t>Sales Person</t>
  </si>
  <si>
    <t>Region 1</t>
  </si>
  <si>
    <t>Region 2</t>
  </si>
  <si>
    <t>Region 3</t>
  </si>
  <si>
    <t>Region 4</t>
  </si>
  <si>
    <t>Sales by Region</t>
  </si>
  <si>
    <t>State</t>
  </si>
  <si>
    <t>Totals</t>
  </si>
  <si>
    <t>Jan</t>
  </si>
  <si>
    <t>Mar</t>
  </si>
  <si>
    <t>Sales Analysis</t>
  </si>
  <si>
    <t>Sales Data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</si>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</sst>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[$$-409]* #,##0_ ;_-[$$-409]* \-#,##0\ ;_-[$$-409]* &quot;-&quot;??_ ;_-@_ "/>
    <numFmt numFmtId="166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Verdana"/>
      <family val="2"/>
    </font>
    <font>
      <b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/>
      </patternFill>
    </fill>
  </fills>
  <borders count="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rgb="FF0070C0"/>
      </top>
      <bottom/>
      <diagonal/>
    </border>
  </borders>
  <cellStyleXfs count="6">
    <xf numFmtId="0" fontId="0" fillId="0" borderId="0"/>
    <xf numFmtId="0" fontId="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3" fillId="0" borderId="7" applyNumberFormat="0" applyFill="0" applyAlignment="0" applyProtection="0"/>
  </cellStyleXfs>
  <cellXfs count="39">
    <xf numFmtId="0" fontId="0" fillId="0" borderId="0" xfId="0"/>
    <xf numFmtId="0" fontId="1" fillId="0" borderId="0" xfId="3"/>
    <xf numFmtId="14" fontId="1" fillId="0" borderId="0" xfId="3" applyNumberFormat="1"/>
    <xf numFmtId="14" fontId="3" fillId="0" borderId="0" xfId="3" applyNumberFormat="1" applyFont="1"/>
    <xf numFmtId="0" fontId="3" fillId="0" borderId="0" xfId="3" applyFont="1"/>
    <xf numFmtId="164" fontId="0" fillId="0" borderId="0" xfId="2" applyFont="1"/>
    <xf numFmtId="2" fontId="3" fillId="0" borderId="0" xfId="2" applyNumberFormat="1" applyFont="1"/>
    <xf numFmtId="2" fontId="0" fillId="0" borderId="0" xfId="2" applyNumberFormat="1" applyFont="1"/>
    <xf numFmtId="2" fontId="1" fillId="0" borderId="0" xfId="3" applyNumberFormat="1"/>
    <xf numFmtId="0" fontId="4" fillId="0" borderId="0" xfId="3" applyFont="1"/>
    <xf numFmtId="0" fontId="1" fillId="0" borderId="0" xfId="3" applyAlignment="1">
      <alignment wrapText="1"/>
    </xf>
    <xf numFmtId="0" fontId="1" fillId="0" borderId="2" xfId="3" applyBorder="1"/>
    <xf numFmtId="164" fontId="0" fillId="0" borderId="0" xfId="2" applyFont="1" applyAlignment="1"/>
    <xf numFmtId="0" fontId="1" fillId="0" borderId="5" xfId="3" applyBorder="1"/>
    <xf numFmtId="14" fontId="1" fillId="0" borderId="1" xfId="3" applyNumberFormat="1" applyBorder="1"/>
    <xf numFmtId="0" fontId="1" fillId="0" borderId="2" xfId="3" applyBorder="1" applyAlignment="1">
      <alignment wrapText="1"/>
    </xf>
    <xf numFmtId="164" fontId="0" fillId="0" borderId="2" xfId="2" applyFont="1" applyBorder="1" applyAlignment="1"/>
    <xf numFmtId="164" fontId="0" fillId="0" borderId="3" xfId="2" applyFont="1" applyBorder="1"/>
    <xf numFmtId="14" fontId="1" fillId="0" borderId="4" xfId="3" applyNumberFormat="1" applyBorder="1"/>
    <xf numFmtId="0" fontId="1" fillId="0" borderId="5" xfId="3" applyBorder="1" applyAlignment="1">
      <alignment wrapText="1"/>
    </xf>
    <xf numFmtId="164" fontId="0" fillId="0" borderId="5" xfId="2" applyFont="1" applyBorder="1" applyAlignment="1"/>
    <xf numFmtId="164" fontId="0" fillId="0" borderId="6" xfId="2" applyFont="1" applyBorder="1"/>
    <xf numFmtId="14" fontId="7" fillId="2" borderId="1" xfId="3" applyNumberFormat="1" applyFont="1" applyFill="1" applyBorder="1"/>
    <xf numFmtId="0" fontId="7" fillId="2" borderId="2" xfId="3" applyFont="1" applyFill="1" applyBorder="1"/>
    <xf numFmtId="164" fontId="7" fillId="2" borderId="2" xfId="2" applyFont="1" applyFill="1" applyBorder="1" applyAlignment="1"/>
    <xf numFmtId="164" fontId="7" fillId="2" borderId="3" xfId="2" applyFont="1" applyFill="1" applyBorder="1"/>
    <xf numFmtId="165" fontId="0" fillId="0" borderId="0" xfId="2" applyNumberFormat="1" applyFont="1"/>
    <xf numFmtId="165" fontId="1" fillId="0" borderId="0" xfId="3" applyNumberFormat="1"/>
    <xf numFmtId="0" fontId="0" fillId="0" borderId="8" xfId="0" applyBorder="1" applyAlignment="1">
      <alignment horizontal="center"/>
    </xf>
    <xf numFmtId="0" fontId="3" fillId="0" borderId="7" xfId="5"/>
    <xf numFmtId="165" fontId="3" fillId="0" borderId="7" xfId="5" applyNumberFormat="1"/>
    <xf numFmtId="0" fontId="3" fillId="0" borderId="0" xfId="3" applyFont="1" applyAlignment="1">
      <alignment wrapText="1"/>
    </xf>
    <xf numFmtId="166" fontId="0" fillId="0" borderId="0" xfId="2" applyNumberFormat="1" applyFont="1"/>
    <xf numFmtId="0" fontId="3" fillId="0" borderId="0" xfId="3" applyFont="1" applyAlignment="1">
      <alignment textRotation="45"/>
    </xf>
    <xf numFmtId="0" fontId="6" fillId="0" borderId="0" xfId="1" applyAlignment="1">
      <alignment horizontal="center"/>
    </xf>
    <xf numFmtId="14" fontId="6" fillId="0" borderId="0" xfId="4" applyNumberFormat="1" applyAlignment="1">
      <alignment horizontal="center"/>
    </xf>
    <xf numFmtId="2" fontId="3" fillId="0" borderId="0" xfId="2" applyNumberFormat="1" applyFont="1" applyAlignment="1">
      <alignment horizontal="left" wrapText="1"/>
    </xf>
    <xf numFmtId="166" fontId="0" fillId="0" borderId="0" xfId="2" applyNumberFormat="1" applyFont="1" applyAlignment="1">
      <alignment horizontal="left"/>
    </xf>
    <xf numFmtId="2" fontId="0" fillId="0" borderId="0" xfId="2" applyNumberFormat="1" applyFont="1" applyAlignment="1">
      <alignment horizontal="left"/>
    </xf>
  </cellXfs>
  <cellStyles count="6">
    <cellStyle name="Currency#TnBmtWgHPaL8pV6IWEfD/dCFC+qeNXchQBaDfG+u1lg=" xfId="2" xr:uid="{00000000-0005-0000-0000-000003000000}"/>
    <cellStyle name="Normal" xfId="0" builtinId="0"/>
    <cellStyle name="Normal#i04lexc/VELTyYhR+eM3cRf2fvrOlrDkP5xMndnIFGY=" xfId="3" xr:uid="{00000000-0005-0000-0000-000004000000}"/>
    <cellStyle name="Title" xfId="1" builtinId="15"/>
    <cellStyle name="Title#JnGDC3gCpaUe0AfjHqWSUtda+9sthRKhacbjLW8QfHE=" xfId="4" xr:uid="{00000000-0005-0000-0000-000005000000}"/>
    <cellStyle name="Total" xfId="5" builtinId="2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$-409]* #,##0.00_ ;_-[$$-409]* \-#,##0.00\ ;_-[$$-409]* &quot;-&quot;??_ ;_-@_ 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$-409]* #,##0.00_ ;_-[$$-409]* \-#,##0.00\ ;_-[$$-409]* &quot;-&quot;??_ ;_-@_ "/>
    </dxf>
    <dxf>
      <alignment horizontal="general" vertical="bottom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numFmt numFmtId="167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56DD26-1B51-4DAA-BF99-4DDE7144B619}" name="SalesDataTable" displayName="SalesDataTable" ref="A2:H37" totalsRowShown="0" headerRowDxfId="5">
  <autoFilter ref="A2:H37" xr:uid="{A5A67315-3B07-48F8-B731-75CCFD8E205E}"/>
  <sortState xmlns:xlrd2="http://schemas.microsoft.com/office/spreadsheetml/2017/richdata2" ref="A3:H37">
    <sortCondition ref="A2:A37"/>
  </sortState>
  <tableColumns count="8">
    <tableColumn id="1" xr3:uid="{D53610A5-22C8-492C-9160-7FF71053F7A8}" name="OrderDate" dataDxfId="4"/>
    <tableColumn id="2" xr3:uid="{1148B6A8-8C22-430F-BA38-FE32255EFFA0}" name="Region"/>
    <tableColumn id="8" xr3:uid="{12CA12EE-534E-4C4E-8734-C2BF7FCFD1B9}" name="State"/>
    <tableColumn id="3" xr3:uid="{63A054E2-B562-4398-9ED5-F26E992115A4}" name="Sales Person"/>
    <tableColumn id="4" xr3:uid="{7734D975-C923-4C0B-B685-ED947225B338}" name="Shoe"/>
    <tableColumn id="5" xr3:uid="{862F0CF0-4653-4D78-A91E-AA041063BDAC}" name="# of Pairs" dataDxfId="2"/>
    <tableColumn id="6" xr3:uid="{CC08F068-D6FA-4762-89B2-66E4E0D6C854}" name=" Price Per Pair" dataDxfId="0"/>
    <tableColumn id="7" xr3:uid="{2DB6DDE1-CDFA-43DE-8FF1-9BD0B29C6992}" name="Total Sale" dataDxfId="1">
      <calculatedColumnFormula>F3*G3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>
      <selection activeCell="J12" sqref="J12"/>
    </sheetView>
  </sheetViews>
  <sheetFormatPr defaultRowHeight="15" x14ac:dyDescent="0.25"/>
  <cols>
    <col min="1" max="1" width="15" style="1" customWidth="1"/>
    <col min="2" max="5" width="14.5703125" style="1" customWidth="1"/>
  </cols>
  <sheetData>
    <row r="1" spans="1:5" ht="24" thickBot="1" x14ac:dyDescent="0.4">
      <c r="A1" s="34" t="s">
        <v>30</v>
      </c>
      <c r="B1" s="34"/>
      <c r="C1" s="34"/>
      <c r="D1" s="34"/>
      <c r="E1" s="34"/>
    </row>
    <row r="2" spans="1:5" ht="15.75" thickTop="1" x14ac:dyDescent="0.25">
      <c r="B2" s="28" t="s">
        <v>26</v>
      </c>
      <c r="C2" s="28" t="s">
        <v>27</v>
      </c>
      <c r="D2" s="28" t="s">
        <v>28</v>
      </c>
      <c r="E2" s="28" t="s">
        <v>29</v>
      </c>
    </row>
    <row r="3" spans="1:5" ht="15.75" x14ac:dyDescent="0.25">
      <c r="A3" s="9" t="s">
        <v>18</v>
      </c>
      <c r="B3" s="26">
        <v>236878</v>
      </c>
      <c r="C3" s="27">
        <v>103774</v>
      </c>
      <c r="D3" s="27">
        <v>390592</v>
      </c>
      <c r="E3" s="27">
        <v>637464</v>
      </c>
    </row>
    <row r="4" spans="1:5" ht="15.75" x14ac:dyDescent="0.25">
      <c r="A4" s="9" t="s">
        <v>20</v>
      </c>
      <c r="B4" s="26">
        <v>782155</v>
      </c>
      <c r="C4" s="27">
        <v>774050</v>
      </c>
      <c r="D4" s="27">
        <v>573981</v>
      </c>
      <c r="E4" s="27">
        <v>599668</v>
      </c>
    </row>
    <row r="5" spans="1:5" ht="15.75" x14ac:dyDescent="0.25">
      <c r="A5" s="9" t="s">
        <v>17</v>
      </c>
      <c r="B5" s="26">
        <v>725851</v>
      </c>
      <c r="C5" s="27">
        <v>119069</v>
      </c>
      <c r="D5" s="27">
        <v>335384</v>
      </c>
      <c r="E5" s="27">
        <v>381123</v>
      </c>
    </row>
    <row r="6" spans="1:5" ht="15.75" x14ac:dyDescent="0.25">
      <c r="A6" s="9" t="s">
        <v>16</v>
      </c>
      <c r="B6" s="27">
        <v>313280</v>
      </c>
      <c r="C6" s="26">
        <v>603153</v>
      </c>
      <c r="D6" s="27">
        <v>288828</v>
      </c>
      <c r="E6" s="27">
        <v>904863</v>
      </c>
    </row>
    <row r="7" spans="1:5" ht="15.75" x14ac:dyDescent="0.25">
      <c r="A7" s="9" t="s">
        <v>21</v>
      </c>
      <c r="B7" s="27">
        <v>757627</v>
      </c>
      <c r="C7" s="27">
        <v>722935</v>
      </c>
      <c r="D7" s="27">
        <v>441957</v>
      </c>
      <c r="E7" s="27">
        <v>262900</v>
      </c>
    </row>
    <row r="8" spans="1:5" ht="15.75" thickBot="1" x14ac:dyDescent="0.3">
      <c r="A8" s="29" t="s">
        <v>32</v>
      </c>
      <c r="B8" s="30">
        <f>SUM(B3:B7)</f>
        <v>2815791</v>
      </c>
      <c r="C8" s="30">
        <f t="shared" ref="C8:E8" si="0">SUM(C3:C7)</f>
        <v>2322981</v>
      </c>
      <c r="D8" s="30">
        <f t="shared" si="0"/>
        <v>2030742</v>
      </c>
      <c r="E8" s="30">
        <f t="shared" si="0"/>
        <v>2786018</v>
      </c>
    </row>
    <row r="9" spans="1:5" ht="15.75" thickTop="1" x14ac:dyDescent="0.25">
      <c r="E9" s="5"/>
    </row>
    <row r="10" spans="1:5" x14ac:dyDescent="0.25">
      <c r="B10" s="5"/>
      <c r="C10" s="5"/>
      <c r="D10" s="5"/>
      <c r="E10" s="5"/>
    </row>
    <row r="11" spans="1:5" x14ac:dyDescent="0.25">
      <c r="B11" s="5"/>
      <c r="C11" s="5"/>
      <c r="D11" s="5"/>
      <c r="E11" s="5"/>
    </row>
    <row r="12" spans="1:5" x14ac:dyDescent="0.25">
      <c r="B12" s="5"/>
      <c r="C12" s="5"/>
      <c r="D12" s="5"/>
      <c r="E12" s="5"/>
    </row>
    <row r="13" spans="1:5" x14ac:dyDescent="0.25">
      <c r="B13" s="5"/>
      <c r="C13" s="5"/>
      <c r="D13" s="5"/>
      <c r="E13" s="5"/>
    </row>
    <row r="14" spans="1:5" x14ac:dyDescent="0.25">
      <c r="B14" s="5"/>
      <c r="C14" s="5"/>
      <c r="D14" s="5"/>
      <c r="E14" s="5"/>
    </row>
  </sheetData>
  <mergeCells count="1">
    <mergeCell ref="A1:E1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324A11D-C088-4E0F-B3D0-71B19EB7C1B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'By Region'!B3:E3</xm:f>
              <xm:sqref>F3</xm:sqref>
            </x14:sparkline>
            <x14:sparkline>
              <xm:f>'By Region'!B4:E4</xm:f>
              <xm:sqref>F4</xm:sqref>
            </x14:sparkline>
            <x14:sparkline>
              <xm:f>'By Region'!B5:E5</xm:f>
              <xm:sqref>F5</xm:sqref>
            </x14:sparkline>
            <x14:sparkline>
              <xm:f>'By Region'!B6:E6</xm:f>
              <xm:sqref>F6</xm:sqref>
            </x14:sparkline>
            <x14:sparkline>
              <xm:f>'By Region'!B7:E7</xm:f>
              <xm:sqref>F7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opLeftCell="A19" zoomScaleNormal="100" workbookViewId="0">
      <selection activeCell="J6" sqref="J6"/>
    </sheetView>
  </sheetViews>
  <sheetFormatPr defaultColWidth="8.85546875" defaultRowHeight="15" x14ac:dyDescent="0.25"/>
  <cols>
    <col min="1" max="1" width="12.140625" style="2" customWidth="1"/>
    <col min="2" max="3" width="10.5703125" style="1" customWidth="1"/>
    <col min="4" max="4" width="14.42578125" style="1" customWidth="1"/>
    <col min="5" max="5" width="7.42578125" style="1" customWidth="1"/>
    <col min="6" max="6" width="7.42578125" style="10" customWidth="1"/>
    <col min="7" max="7" width="10.140625" style="38" customWidth="1"/>
    <col min="8" max="8" width="12.5703125" style="7" customWidth="1"/>
  </cols>
  <sheetData>
    <row r="1" spans="1:8" ht="23.25" x14ac:dyDescent="0.35">
      <c r="A1" s="35" t="s">
        <v>36</v>
      </c>
      <c r="B1" s="35"/>
      <c r="C1" s="35"/>
      <c r="D1" s="35"/>
      <c r="E1" s="35"/>
      <c r="F1" s="35"/>
      <c r="G1" s="35"/>
      <c r="H1" s="35"/>
    </row>
    <row r="2" spans="1:8" ht="30" x14ac:dyDescent="0.25">
      <c r="A2" s="3" t="s">
        <v>0</v>
      </c>
      <c r="B2" s="4" t="s">
        <v>1</v>
      </c>
      <c r="C2" s="4" t="s">
        <v>31</v>
      </c>
      <c r="D2" s="4" t="s">
        <v>25</v>
      </c>
      <c r="E2" s="4" t="s">
        <v>19</v>
      </c>
      <c r="F2" s="31" t="s">
        <v>22</v>
      </c>
      <c r="G2" s="36" t="s">
        <v>24</v>
      </c>
      <c r="H2" s="6" t="s">
        <v>23</v>
      </c>
    </row>
    <row r="3" spans="1:8" x14ac:dyDescent="0.25">
      <c r="A3" s="2">
        <v>44130</v>
      </c>
      <c r="B3" s="1" t="s">
        <v>11</v>
      </c>
      <c r="C3" s="1" t="s">
        <v>11</v>
      </c>
      <c r="D3" s="1" t="s">
        <v>7</v>
      </c>
      <c r="E3" s="1" t="s">
        <v>20</v>
      </c>
      <c r="F3" s="10">
        <v>156</v>
      </c>
      <c r="G3" s="37">
        <v>10.49</v>
      </c>
      <c r="H3" s="32">
        <f t="shared" ref="H3:H37" si="0">F3*G3</f>
        <v>1636.44</v>
      </c>
    </row>
    <row r="4" spans="1:8" x14ac:dyDescent="0.25">
      <c r="A4" s="2">
        <v>44130</v>
      </c>
      <c r="B4" s="1" t="s">
        <v>11</v>
      </c>
      <c r="C4" s="1" t="s">
        <v>11</v>
      </c>
      <c r="D4" s="1" t="s">
        <v>7</v>
      </c>
      <c r="E4" s="1" t="s">
        <v>20</v>
      </c>
      <c r="F4" s="10">
        <v>176</v>
      </c>
      <c r="G4" s="37">
        <v>10.49</v>
      </c>
      <c r="H4" s="32">
        <f t="shared" si="0"/>
        <v>1846.24</v>
      </c>
    </row>
    <row r="5" spans="1:8" x14ac:dyDescent="0.25">
      <c r="A5" s="2">
        <v>44139</v>
      </c>
      <c r="B5" s="1" t="s">
        <v>10</v>
      </c>
      <c r="C5" s="1" t="s">
        <v>10</v>
      </c>
      <c r="D5" s="1" t="s">
        <v>13</v>
      </c>
      <c r="E5" s="1" t="s">
        <v>18</v>
      </c>
      <c r="F5" s="10">
        <v>229</v>
      </c>
      <c r="G5" s="37">
        <v>66.989999999999995</v>
      </c>
      <c r="H5" s="32">
        <f t="shared" si="0"/>
        <v>15340.71</v>
      </c>
    </row>
    <row r="6" spans="1:8" x14ac:dyDescent="0.25">
      <c r="A6" s="2">
        <v>44164</v>
      </c>
      <c r="B6" s="1" t="s">
        <v>12</v>
      </c>
      <c r="C6" s="1" t="s">
        <v>12</v>
      </c>
      <c r="D6" s="1" t="s">
        <v>14</v>
      </c>
      <c r="E6" s="1" t="s">
        <v>21</v>
      </c>
      <c r="F6" s="10">
        <v>100</v>
      </c>
      <c r="G6" s="37">
        <v>8.35</v>
      </c>
      <c r="H6" s="32">
        <f t="shared" si="0"/>
        <v>835</v>
      </c>
    </row>
    <row r="7" spans="1:8" x14ac:dyDescent="0.25">
      <c r="A7" s="2">
        <v>44173</v>
      </c>
      <c r="B7" s="1" t="s">
        <v>11</v>
      </c>
      <c r="C7" s="1" t="s">
        <v>11</v>
      </c>
      <c r="D7" s="1" t="s">
        <v>9</v>
      </c>
      <c r="E7" s="1" t="s">
        <v>21</v>
      </c>
      <c r="F7" s="10">
        <v>77</v>
      </c>
      <c r="G7" s="37">
        <v>10.5</v>
      </c>
      <c r="H7" s="32">
        <f t="shared" si="0"/>
        <v>808.5</v>
      </c>
    </row>
    <row r="8" spans="1:8" x14ac:dyDescent="0.25">
      <c r="A8" s="2">
        <v>44189</v>
      </c>
      <c r="B8" s="1" t="s">
        <v>10</v>
      </c>
      <c r="C8" s="1" t="s">
        <v>10</v>
      </c>
      <c r="D8" s="1" t="s">
        <v>2</v>
      </c>
      <c r="E8" s="1" t="s">
        <v>20</v>
      </c>
      <c r="F8" s="10">
        <v>81</v>
      </c>
      <c r="G8" s="37">
        <v>33.99</v>
      </c>
      <c r="H8" s="32">
        <f t="shared" si="0"/>
        <v>2753.19</v>
      </c>
    </row>
    <row r="9" spans="1:8" x14ac:dyDescent="0.25">
      <c r="A9" s="2">
        <v>44189</v>
      </c>
      <c r="B9" s="1" t="s">
        <v>10</v>
      </c>
      <c r="C9" s="1" t="s">
        <v>10</v>
      </c>
      <c r="D9" s="1" t="s">
        <v>2</v>
      </c>
      <c r="E9" s="1" t="s">
        <v>20</v>
      </c>
      <c r="F9" s="10">
        <v>270</v>
      </c>
      <c r="G9" s="37">
        <v>33.99</v>
      </c>
      <c r="H9" s="32">
        <f t="shared" si="0"/>
        <v>9177.3000000000011</v>
      </c>
    </row>
    <row r="10" spans="1:8" x14ac:dyDescent="0.25">
      <c r="A10" s="2">
        <v>44198</v>
      </c>
      <c r="B10" s="1" t="s">
        <v>12</v>
      </c>
      <c r="C10" s="1" t="s">
        <v>12</v>
      </c>
      <c r="D10" s="1" t="s">
        <v>14</v>
      </c>
      <c r="E10" s="1" t="s">
        <v>17</v>
      </c>
      <c r="F10" s="10">
        <v>95</v>
      </c>
      <c r="G10" s="37">
        <v>59.99</v>
      </c>
      <c r="H10" s="32">
        <f t="shared" si="0"/>
        <v>5699.05</v>
      </c>
    </row>
    <row r="11" spans="1:8" x14ac:dyDescent="0.25">
      <c r="A11" s="2">
        <v>44206</v>
      </c>
      <c r="B11" s="1" t="s">
        <v>11</v>
      </c>
      <c r="C11" s="1" t="s">
        <v>11</v>
      </c>
      <c r="D11" s="1" t="s">
        <v>7</v>
      </c>
      <c r="E11" s="1" t="s">
        <v>18</v>
      </c>
      <c r="F11" s="10">
        <v>92</v>
      </c>
      <c r="G11" s="37">
        <v>6.99</v>
      </c>
      <c r="H11" s="32">
        <f t="shared" si="0"/>
        <v>643.08000000000004</v>
      </c>
    </row>
    <row r="12" spans="1:8" x14ac:dyDescent="0.25">
      <c r="A12" s="2">
        <v>44215</v>
      </c>
      <c r="B12" s="1" t="s">
        <v>12</v>
      </c>
      <c r="C12" s="1" t="s">
        <v>12</v>
      </c>
      <c r="D12" s="1" t="s">
        <v>6</v>
      </c>
      <c r="E12" s="1" t="s">
        <v>18</v>
      </c>
      <c r="F12" s="10">
        <v>127</v>
      </c>
      <c r="G12" s="37">
        <v>66.989999999999995</v>
      </c>
      <c r="H12" s="32">
        <f t="shared" si="0"/>
        <v>8507.73</v>
      </c>
    </row>
    <row r="13" spans="1:8" x14ac:dyDescent="0.25">
      <c r="A13" s="2">
        <v>44223</v>
      </c>
      <c r="B13" s="1" t="s">
        <v>10</v>
      </c>
      <c r="C13" s="1" t="s">
        <v>10</v>
      </c>
      <c r="D13" s="1" t="s">
        <v>2</v>
      </c>
      <c r="E13" s="1" t="s">
        <v>17</v>
      </c>
      <c r="F13" s="10">
        <v>236</v>
      </c>
      <c r="G13" s="37">
        <v>56.99</v>
      </c>
      <c r="H13" s="32">
        <f t="shared" si="0"/>
        <v>13449.640000000001</v>
      </c>
    </row>
    <row r="14" spans="1:8" x14ac:dyDescent="0.25">
      <c r="A14" s="2">
        <v>44240</v>
      </c>
      <c r="B14" s="1" t="s">
        <v>10</v>
      </c>
      <c r="C14" s="1" t="s">
        <v>10</v>
      </c>
      <c r="D14" s="1" t="s">
        <v>13</v>
      </c>
      <c r="E14" s="1" t="s">
        <v>17</v>
      </c>
      <c r="F14" s="10">
        <v>229</v>
      </c>
      <c r="G14" s="37">
        <v>66.989999999999995</v>
      </c>
      <c r="H14" s="32">
        <f t="shared" si="0"/>
        <v>15340.71</v>
      </c>
    </row>
    <row r="15" spans="1:8" x14ac:dyDescent="0.25">
      <c r="A15" s="2">
        <v>44249</v>
      </c>
      <c r="B15" s="1" t="s">
        <v>11</v>
      </c>
      <c r="C15" s="1" t="s">
        <v>11</v>
      </c>
      <c r="D15" s="1" t="s">
        <v>3</v>
      </c>
      <c r="E15" s="1" t="s">
        <v>18</v>
      </c>
      <c r="F15" s="10">
        <v>159</v>
      </c>
      <c r="G15" s="37">
        <v>46.92</v>
      </c>
      <c r="H15" s="32">
        <f t="shared" si="0"/>
        <v>7460.2800000000007</v>
      </c>
    </row>
    <row r="16" spans="1:8" x14ac:dyDescent="0.25">
      <c r="A16" s="2">
        <v>44257</v>
      </c>
      <c r="B16" s="1" t="s">
        <v>11</v>
      </c>
      <c r="C16" s="1" t="s">
        <v>11</v>
      </c>
      <c r="D16" s="1" t="s">
        <v>15</v>
      </c>
      <c r="E16" s="1" t="s">
        <v>20</v>
      </c>
      <c r="F16" s="10">
        <v>93</v>
      </c>
      <c r="G16" s="37">
        <v>46.92</v>
      </c>
      <c r="H16" s="32">
        <f t="shared" si="0"/>
        <v>4363.5600000000004</v>
      </c>
    </row>
    <row r="17" spans="1:8" x14ac:dyDescent="0.25">
      <c r="A17" s="2">
        <v>44274</v>
      </c>
      <c r="B17" s="1" t="s">
        <v>11</v>
      </c>
      <c r="C17" s="1" t="s">
        <v>11</v>
      </c>
      <c r="D17" s="1" t="s">
        <v>9</v>
      </c>
      <c r="E17" s="1" t="s">
        <v>16</v>
      </c>
      <c r="F17" s="10">
        <v>91</v>
      </c>
      <c r="G17" s="37">
        <v>36.29</v>
      </c>
      <c r="H17" s="32">
        <f t="shared" si="0"/>
        <v>3302.39</v>
      </c>
    </row>
    <row r="18" spans="1:8" x14ac:dyDescent="0.25">
      <c r="A18" s="2">
        <v>44283</v>
      </c>
      <c r="B18" s="1" t="s">
        <v>11</v>
      </c>
      <c r="C18" s="1" t="s">
        <v>11</v>
      </c>
      <c r="D18" s="1" t="s">
        <v>5</v>
      </c>
      <c r="E18" s="1" t="s">
        <v>18</v>
      </c>
      <c r="F18" s="10">
        <v>117</v>
      </c>
      <c r="G18" s="37">
        <v>46.92</v>
      </c>
      <c r="H18" s="32">
        <f t="shared" si="0"/>
        <v>5489.64</v>
      </c>
    </row>
    <row r="19" spans="1:8" x14ac:dyDescent="0.25">
      <c r="A19" s="2">
        <v>44291</v>
      </c>
      <c r="B19" s="1" t="s">
        <v>10</v>
      </c>
      <c r="C19" s="1" t="s">
        <v>10</v>
      </c>
      <c r="D19" s="1" t="s">
        <v>13</v>
      </c>
      <c r="E19" s="1" t="s">
        <v>20</v>
      </c>
      <c r="F19" s="10">
        <v>113</v>
      </c>
      <c r="G19" s="37">
        <v>13.99</v>
      </c>
      <c r="H19" s="32">
        <f t="shared" si="0"/>
        <v>1580.8700000000001</v>
      </c>
    </row>
    <row r="20" spans="1:8" x14ac:dyDescent="0.25">
      <c r="A20" s="2">
        <v>44300</v>
      </c>
      <c r="B20" s="1" t="s">
        <v>10</v>
      </c>
      <c r="C20" s="1" t="s">
        <v>10</v>
      </c>
      <c r="D20" s="1" t="s">
        <v>2</v>
      </c>
      <c r="E20" s="1" t="s">
        <v>16</v>
      </c>
      <c r="F20" s="10">
        <v>148</v>
      </c>
      <c r="G20" s="37">
        <v>59.99</v>
      </c>
      <c r="H20" s="32">
        <f t="shared" si="0"/>
        <v>8878.52</v>
      </c>
    </row>
    <row r="21" spans="1:8" x14ac:dyDescent="0.25">
      <c r="A21" s="2">
        <v>44308</v>
      </c>
      <c r="B21" s="1" t="s">
        <v>11</v>
      </c>
      <c r="C21" s="1" t="s">
        <v>11</v>
      </c>
      <c r="D21" s="1" t="s">
        <v>4</v>
      </c>
      <c r="E21" s="1" t="s">
        <v>18</v>
      </c>
      <c r="F21" s="10">
        <v>96</v>
      </c>
      <c r="G21" s="37">
        <v>66.989999999999995</v>
      </c>
      <c r="H21" s="32">
        <f t="shared" si="0"/>
        <v>6431.0399999999991</v>
      </c>
    </row>
    <row r="22" spans="1:8" x14ac:dyDescent="0.25">
      <c r="A22" s="2">
        <v>44317</v>
      </c>
      <c r="B22" s="1" t="s">
        <v>11</v>
      </c>
      <c r="C22" s="1" t="s">
        <v>11</v>
      </c>
      <c r="D22" s="1" t="s">
        <v>15</v>
      </c>
      <c r="E22" s="1" t="s">
        <v>18</v>
      </c>
      <c r="F22" s="10">
        <v>109</v>
      </c>
      <c r="G22" s="37">
        <v>66.989999999999995</v>
      </c>
      <c r="H22" s="32">
        <f t="shared" si="0"/>
        <v>7301.91</v>
      </c>
    </row>
    <row r="23" spans="1:8" x14ac:dyDescent="0.25">
      <c r="A23" s="2">
        <v>44325</v>
      </c>
      <c r="B23" s="1" t="s">
        <v>11</v>
      </c>
      <c r="C23" s="1" t="s">
        <v>11</v>
      </c>
      <c r="D23" s="1" t="s">
        <v>9</v>
      </c>
      <c r="E23" s="1" t="s">
        <v>18</v>
      </c>
      <c r="F23" s="10">
        <v>85</v>
      </c>
      <c r="G23" s="37">
        <v>66.989999999999995</v>
      </c>
      <c r="H23" s="32">
        <f t="shared" si="0"/>
        <v>5694.15</v>
      </c>
    </row>
    <row r="24" spans="1:8" x14ac:dyDescent="0.25">
      <c r="A24" s="2">
        <v>44334</v>
      </c>
      <c r="B24" s="1" t="s">
        <v>11</v>
      </c>
      <c r="C24" s="1" t="s">
        <v>11</v>
      </c>
      <c r="D24" s="1" t="s">
        <v>3</v>
      </c>
      <c r="E24" s="1" t="s">
        <v>16</v>
      </c>
      <c r="F24" s="10">
        <v>217</v>
      </c>
      <c r="G24" s="37">
        <v>46.92</v>
      </c>
      <c r="H24" s="32">
        <f t="shared" si="0"/>
        <v>10181.640000000001</v>
      </c>
    </row>
    <row r="25" spans="1:8" x14ac:dyDescent="0.25">
      <c r="A25" s="2">
        <v>44351</v>
      </c>
      <c r="B25" s="1" t="s">
        <v>11</v>
      </c>
      <c r="C25" s="1" t="s">
        <v>11</v>
      </c>
      <c r="D25" s="1" t="s">
        <v>4</v>
      </c>
      <c r="E25" s="1" t="s">
        <v>17</v>
      </c>
      <c r="F25" s="10">
        <v>200</v>
      </c>
      <c r="G25" s="37">
        <v>66.989999999999995</v>
      </c>
      <c r="H25" s="32">
        <f t="shared" si="0"/>
        <v>13397.999999999998</v>
      </c>
    </row>
    <row r="26" spans="1:8" x14ac:dyDescent="0.25">
      <c r="A26" s="2">
        <v>44359</v>
      </c>
      <c r="B26" s="1" t="s">
        <v>12</v>
      </c>
      <c r="C26" s="1" t="s">
        <v>12</v>
      </c>
      <c r="D26" s="1" t="s">
        <v>14</v>
      </c>
      <c r="E26" s="1" t="s">
        <v>18</v>
      </c>
      <c r="F26" s="10">
        <v>77</v>
      </c>
      <c r="G26" s="37">
        <v>66.989999999999995</v>
      </c>
      <c r="H26" s="32">
        <f t="shared" si="0"/>
        <v>5158.2299999999996</v>
      </c>
    </row>
    <row r="27" spans="1:8" x14ac:dyDescent="0.25">
      <c r="A27" s="2">
        <v>44368</v>
      </c>
      <c r="B27" s="1" t="s">
        <v>12</v>
      </c>
      <c r="C27" s="1" t="s">
        <v>12</v>
      </c>
      <c r="D27" s="1" t="s">
        <v>14</v>
      </c>
      <c r="E27" s="1" t="s">
        <v>16</v>
      </c>
      <c r="F27" s="10">
        <v>263</v>
      </c>
      <c r="G27" s="37">
        <v>45.34</v>
      </c>
      <c r="H27" s="32">
        <f t="shared" si="0"/>
        <v>11924.42</v>
      </c>
    </row>
    <row r="28" spans="1:8" x14ac:dyDescent="0.25">
      <c r="A28" s="2">
        <v>44368</v>
      </c>
      <c r="B28" s="1" t="s">
        <v>12</v>
      </c>
      <c r="C28" s="1" t="s">
        <v>12</v>
      </c>
      <c r="D28" s="1" t="s">
        <v>14</v>
      </c>
      <c r="E28" s="1" t="s">
        <v>16</v>
      </c>
      <c r="F28" s="10">
        <v>110</v>
      </c>
      <c r="G28" s="37">
        <v>45.34</v>
      </c>
      <c r="H28" s="32">
        <f t="shared" si="0"/>
        <v>4987.4000000000005</v>
      </c>
    </row>
    <row r="29" spans="1:8" x14ac:dyDescent="0.25">
      <c r="A29" s="2">
        <v>44376</v>
      </c>
      <c r="B29" s="1" t="s">
        <v>11</v>
      </c>
      <c r="C29" s="1" t="s">
        <v>11</v>
      </c>
      <c r="D29" s="1" t="s">
        <v>3</v>
      </c>
      <c r="E29" s="1" t="s">
        <v>20</v>
      </c>
      <c r="F29" s="10">
        <v>88</v>
      </c>
      <c r="G29" s="37">
        <v>46.92</v>
      </c>
      <c r="H29" s="32">
        <f t="shared" si="0"/>
        <v>4128.96</v>
      </c>
    </row>
    <row r="30" spans="1:8" x14ac:dyDescent="0.25">
      <c r="A30" s="2">
        <v>44385</v>
      </c>
      <c r="B30" s="1" t="s">
        <v>10</v>
      </c>
      <c r="C30" s="1" t="s">
        <v>10</v>
      </c>
      <c r="D30" s="1" t="s">
        <v>2</v>
      </c>
      <c r="E30" s="1" t="s">
        <v>18</v>
      </c>
      <c r="F30" s="10">
        <v>106</v>
      </c>
      <c r="G30" s="37">
        <v>46.92</v>
      </c>
      <c r="H30" s="32">
        <f t="shared" si="0"/>
        <v>4973.5200000000004</v>
      </c>
    </row>
    <row r="31" spans="1:8" x14ac:dyDescent="0.25">
      <c r="A31" s="2">
        <v>44402</v>
      </c>
      <c r="B31" s="1" t="s">
        <v>11</v>
      </c>
      <c r="C31" s="1" t="s">
        <v>11</v>
      </c>
      <c r="D31" s="1" t="s">
        <v>5</v>
      </c>
      <c r="E31" s="1" t="s">
        <v>16</v>
      </c>
      <c r="F31" s="10">
        <v>75</v>
      </c>
      <c r="G31" s="37">
        <v>59.99</v>
      </c>
      <c r="H31" s="32">
        <f t="shared" si="0"/>
        <v>4499.25</v>
      </c>
    </row>
    <row r="32" spans="1:8" x14ac:dyDescent="0.25">
      <c r="A32" s="2">
        <v>44410</v>
      </c>
      <c r="B32" s="1" t="s">
        <v>10</v>
      </c>
      <c r="C32" s="1" t="s">
        <v>10</v>
      </c>
      <c r="D32" s="1" t="s">
        <v>8</v>
      </c>
      <c r="E32" s="1" t="s">
        <v>17</v>
      </c>
      <c r="F32" s="10">
        <v>281</v>
      </c>
      <c r="G32" s="37">
        <v>46.92</v>
      </c>
      <c r="H32" s="32">
        <f t="shared" si="0"/>
        <v>13184.52</v>
      </c>
    </row>
    <row r="33" spans="1:8" x14ac:dyDescent="0.25">
      <c r="A33" s="2">
        <v>44427</v>
      </c>
      <c r="B33" s="1" t="s">
        <v>11</v>
      </c>
      <c r="C33" s="1" t="s">
        <v>11</v>
      </c>
      <c r="D33" s="1" t="s">
        <v>4</v>
      </c>
      <c r="E33" s="1" t="s">
        <v>16</v>
      </c>
      <c r="F33" s="10">
        <v>223</v>
      </c>
      <c r="G33" s="37">
        <v>27</v>
      </c>
      <c r="H33" s="32">
        <f t="shared" si="0"/>
        <v>6021</v>
      </c>
    </row>
    <row r="34" spans="1:8" x14ac:dyDescent="0.25">
      <c r="A34" s="2">
        <v>44436</v>
      </c>
      <c r="B34" s="1" t="s">
        <v>12</v>
      </c>
      <c r="C34" s="1" t="s">
        <v>12</v>
      </c>
      <c r="D34" s="1" t="s">
        <v>6</v>
      </c>
      <c r="E34" s="1" t="s">
        <v>16</v>
      </c>
      <c r="F34" s="10">
        <v>280</v>
      </c>
      <c r="G34" s="37">
        <v>59.99</v>
      </c>
      <c r="H34" s="32">
        <f t="shared" si="0"/>
        <v>16797.2</v>
      </c>
    </row>
    <row r="35" spans="1:8" x14ac:dyDescent="0.25">
      <c r="A35" s="2">
        <v>44461</v>
      </c>
      <c r="B35" s="1" t="s">
        <v>11</v>
      </c>
      <c r="C35" s="1" t="s">
        <v>11</v>
      </c>
      <c r="D35" s="1" t="s">
        <v>15</v>
      </c>
      <c r="E35" s="1" t="s">
        <v>21</v>
      </c>
      <c r="F35" s="10">
        <v>215</v>
      </c>
      <c r="G35" s="37">
        <v>10.5</v>
      </c>
      <c r="H35" s="32">
        <f t="shared" si="0"/>
        <v>2257.5</v>
      </c>
    </row>
    <row r="36" spans="1:8" x14ac:dyDescent="0.25">
      <c r="A36" s="2">
        <v>44470</v>
      </c>
      <c r="B36" s="1" t="s">
        <v>11</v>
      </c>
      <c r="C36" s="1" t="s">
        <v>11</v>
      </c>
      <c r="D36" s="1" t="s">
        <v>7</v>
      </c>
      <c r="E36" s="1" t="s">
        <v>16</v>
      </c>
      <c r="F36" s="10">
        <v>178</v>
      </c>
      <c r="G36" s="37">
        <v>46.92</v>
      </c>
      <c r="H36" s="32">
        <f t="shared" si="0"/>
        <v>8351.76</v>
      </c>
    </row>
    <row r="37" spans="1:8" x14ac:dyDescent="0.25">
      <c r="A37" s="2">
        <v>44487</v>
      </c>
      <c r="B37" s="1" t="s">
        <v>10</v>
      </c>
      <c r="C37" s="1" t="s">
        <v>10</v>
      </c>
      <c r="D37" s="1" t="s">
        <v>8</v>
      </c>
      <c r="E37" s="1" t="s">
        <v>18</v>
      </c>
      <c r="F37" s="10">
        <v>117</v>
      </c>
      <c r="G37" s="37">
        <v>59.99</v>
      </c>
      <c r="H37" s="32">
        <f t="shared" si="0"/>
        <v>7018.83</v>
      </c>
    </row>
    <row r="38" spans="1:8" x14ac:dyDescent="0.25">
      <c r="H38" s="8"/>
    </row>
    <row r="39" spans="1:8" x14ac:dyDescent="0.25">
      <c r="H39" s="8"/>
    </row>
    <row r="40" spans="1:8" x14ac:dyDescent="0.25">
      <c r="H40" s="8"/>
    </row>
    <row r="41" spans="1:8" x14ac:dyDescent="0.25">
      <c r="H41" s="8"/>
    </row>
    <row r="42" spans="1:8" x14ac:dyDescent="0.25">
      <c r="H42" s="8"/>
    </row>
    <row r="43" spans="1:8" x14ac:dyDescent="0.25">
      <c r="H43" s="8"/>
    </row>
    <row r="44" spans="1:8" x14ac:dyDescent="0.25">
      <c r="H44" s="8"/>
    </row>
    <row r="45" spans="1:8" x14ac:dyDescent="0.25">
      <c r="H45" s="8"/>
    </row>
    <row r="46" spans="1:8" x14ac:dyDescent="0.25">
      <c r="H46" s="8"/>
    </row>
    <row r="47" spans="1:8" x14ac:dyDescent="0.25">
      <c r="H47" s="8"/>
    </row>
    <row r="48" spans="1:8" x14ac:dyDescent="0.25">
      <c r="H48" s="8"/>
    </row>
    <row r="49" spans="8:8" x14ac:dyDescent="0.25">
      <c r="H49" s="8"/>
    </row>
    <row r="50" spans="8:8" x14ac:dyDescent="0.25">
      <c r="H50" s="8"/>
    </row>
    <row r="51" spans="8:8" x14ac:dyDescent="0.25">
      <c r="H51" s="8"/>
    </row>
    <row r="52" spans="8:8" x14ac:dyDescent="0.25">
      <c r="H52" s="8"/>
    </row>
    <row r="53" spans="8:8" x14ac:dyDescent="0.25">
      <c r="H53" s="8"/>
    </row>
    <row r="54" spans="8:8" x14ac:dyDescent="0.25">
      <c r="H54" s="8"/>
    </row>
  </sheetData>
  <mergeCells count="1">
    <mergeCell ref="A1:H1"/>
  </mergeCells>
  <phoneticPr fontId="2" type="noConversion"/>
  <pageMargins left="0.7" right="0.7" top="0.75" bottom="0.75" header="0.3" footer="0.3"/>
  <tableParts count="1">
    <tablePart r:id="rId1"/>
  </tableParts>
  <extLst>
    <x:ext xmlns:x="http://schemas.openxmlformats.org/spreadsheetml/2006/main" xmlns:mx="http://schemas.microsoft.com/office/mac/excel/2008/main" uri="http://schemas.microsoft.com/office/mac/excel/2008/main">
      <mx:PLV Mode="0" OnePage="0" WScale="0"/>
    </x: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28A7-C0DC-484A-BD5C-4EB57104BB72}">
  <dimension ref="A1:H38"/>
  <sheetViews>
    <sheetView topLeftCell="E1" zoomScaleNormal="100" workbookViewId="0">
      <selection activeCell="H3" sqref="H3:H38"/>
    </sheetView>
  </sheetViews>
  <sheetFormatPr defaultColWidth="8.85546875" defaultRowHeight="15" x14ac:dyDescent="0.25"/>
  <cols>
    <col min="1" max="1" width="12.140625" style="2" customWidth="1"/>
    <col min="2" max="3" width="10.5703125" style="1" customWidth="1"/>
    <col min="4" max="4" width="14.42578125" style="1" customWidth="1"/>
    <col min="5" max="5" width="7.42578125" style="1" customWidth="1"/>
    <col min="6" max="6" width="10.28515625" style="10" bestFit="1" customWidth="1"/>
    <col min="7" max="7" width="15.42578125" style="12" bestFit="1" customWidth="1"/>
    <col min="8" max="8" width="12.5703125" style="5" customWidth="1"/>
  </cols>
  <sheetData>
    <row r="1" spans="1:8" ht="23.25" x14ac:dyDescent="0.35">
      <c r="A1" s="35" t="s">
        <v>35</v>
      </c>
      <c r="B1" s="35"/>
      <c r="C1" s="35"/>
      <c r="D1" s="35"/>
      <c r="E1" s="35"/>
      <c r="F1" s="35"/>
      <c r="G1" s="35"/>
      <c r="H1" s="35"/>
    </row>
    <row r="2" spans="1:8" x14ac:dyDescent="0.25">
      <c r="A2" s="22" t="s">
        <v>0</v>
      </c>
      <c r="B2" s="23" t="s">
        <v>1</v>
      </c>
      <c r="C2" s="23" t="s">
        <v>31</v>
      </c>
      <c r="D2" s="23" t="s">
        <v>25</v>
      </c>
      <c r="E2" s="23" t="s">
        <v>19</v>
      </c>
      <c r="F2" s="23" t="s">
        <v>22</v>
      </c>
      <c r="G2" s="24" t="s">
        <v>24</v>
      </c>
      <c r="H2" s="25" t="s">
        <v>23</v>
      </c>
    </row>
    <row r="3" spans="1:8" x14ac:dyDescent="0.25">
      <c r="A3" s="14">
        <v>44130</v>
      </c>
      <c r="B3" s="11" t="s">
        <v>11</v>
      </c>
      <c r="C3" s="11" t="s">
        <v>11</v>
      </c>
      <c r="D3" s="11" t="s">
        <v>7</v>
      </c>
      <c r="E3" s="11" t="s">
        <v>20</v>
      </c>
      <c r="F3" s="15">
        <v>156</v>
      </c>
      <c r="G3" s="16">
        <v>10.49</v>
      </c>
      <c r="H3" s="17">
        <f t="shared" ref="H3:H38" si="0">F3*G3</f>
        <v>1636.44</v>
      </c>
    </row>
    <row r="4" spans="1:8" x14ac:dyDescent="0.25">
      <c r="A4" s="14">
        <v>44130</v>
      </c>
      <c r="B4" s="11" t="s">
        <v>11</v>
      </c>
      <c r="C4" s="11" t="s">
        <v>11</v>
      </c>
      <c r="D4" s="11" t="s">
        <v>7</v>
      </c>
      <c r="E4" s="11" t="s">
        <v>20</v>
      </c>
      <c r="F4" s="15">
        <v>156</v>
      </c>
      <c r="G4" s="16">
        <v>10.49</v>
      </c>
      <c r="H4" s="17">
        <f t="shared" si="0"/>
        <v>1636.44</v>
      </c>
    </row>
    <row r="5" spans="1:8" x14ac:dyDescent="0.25">
      <c r="A5" s="14">
        <v>44130</v>
      </c>
      <c r="B5" s="11" t="s">
        <v>11</v>
      </c>
      <c r="C5" s="11" t="s">
        <v>11</v>
      </c>
      <c r="D5" s="11" t="s">
        <v>7</v>
      </c>
      <c r="E5" s="11" t="s">
        <v>20</v>
      </c>
      <c r="F5" s="15">
        <v>176</v>
      </c>
      <c r="G5" s="16">
        <v>10.49</v>
      </c>
      <c r="H5" s="17">
        <f t="shared" si="0"/>
        <v>1846.24</v>
      </c>
    </row>
    <row r="6" spans="1:8" x14ac:dyDescent="0.25">
      <c r="A6" s="14">
        <v>44139</v>
      </c>
      <c r="B6" s="11" t="s">
        <v>10</v>
      </c>
      <c r="C6" s="11" t="s">
        <v>10</v>
      </c>
      <c r="D6" s="11" t="s">
        <v>13</v>
      </c>
      <c r="E6" s="11" t="s">
        <v>18</v>
      </c>
      <c r="F6" s="15">
        <v>229</v>
      </c>
      <c r="G6" s="16">
        <v>66.989999999999995</v>
      </c>
      <c r="H6" s="17">
        <f t="shared" si="0"/>
        <v>15340.71</v>
      </c>
    </row>
    <row r="7" spans="1:8" x14ac:dyDescent="0.25">
      <c r="A7" s="14">
        <v>44164</v>
      </c>
      <c r="B7" s="11" t="s">
        <v>12</v>
      </c>
      <c r="C7" s="11" t="s">
        <v>12</v>
      </c>
      <c r="D7" s="11" t="s">
        <v>14</v>
      </c>
      <c r="E7" s="11" t="s">
        <v>21</v>
      </c>
      <c r="F7" s="15">
        <v>100</v>
      </c>
      <c r="G7" s="16">
        <v>8.35</v>
      </c>
      <c r="H7" s="17">
        <f t="shared" si="0"/>
        <v>835</v>
      </c>
    </row>
    <row r="8" spans="1:8" x14ac:dyDescent="0.25">
      <c r="A8" s="14">
        <v>44173</v>
      </c>
      <c r="B8" s="11" t="s">
        <v>11</v>
      </c>
      <c r="C8" s="11" t="s">
        <v>11</v>
      </c>
      <c r="D8" s="11" t="s">
        <v>9</v>
      </c>
      <c r="E8" s="11" t="s">
        <v>21</v>
      </c>
      <c r="F8" s="15">
        <v>77</v>
      </c>
      <c r="G8" s="16">
        <v>10.5</v>
      </c>
      <c r="H8" s="17">
        <f t="shared" si="0"/>
        <v>808.5</v>
      </c>
    </row>
    <row r="9" spans="1:8" x14ac:dyDescent="0.25">
      <c r="A9" s="14">
        <v>44189</v>
      </c>
      <c r="B9" s="11" t="s">
        <v>10</v>
      </c>
      <c r="C9" s="11" t="s">
        <v>10</v>
      </c>
      <c r="D9" s="11" t="s">
        <v>2</v>
      </c>
      <c r="E9" s="11" t="s">
        <v>20</v>
      </c>
      <c r="F9" s="15">
        <v>81</v>
      </c>
      <c r="G9" s="16">
        <v>33.99</v>
      </c>
      <c r="H9" s="17">
        <f t="shared" si="0"/>
        <v>2753.19</v>
      </c>
    </row>
    <row r="10" spans="1:8" x14ac:dyDescent="0.25">
      <c r="A10" s="14">
        <v>44189</v>
      </c>
      <c r="B10" s="11" t="s">
        <v>10</v>
      </c>
      <c r="C10" s="11" t="s">
        <v>10</v>
      </c>
      <c r="D10" s="11" t="s">
        <v>2</v>
      </c>
      <c r="E10" s="11" t="s">
        <v>20</v>
      </c>
      <c r="F10" s="15">
        <v>270</v>
      </c>
      <c r="G10" s="16">
        <v>33.99</v>
      </c>
      <c r="H10" s="17">
        <f t="shared" si="0"/>
        <v>9177.3000000000011</v>
      </c>
    </row>
    <row r="11" spans="1:8" x14ac:dyDescent="0.25">
      <c r="A11" s="14">
        <v>44198</v>
      </c>
      <c r="B11" s="11" t="s">
        <v>12</v>
      </c>
      <c r="C11" s="11" t="s">
        <v>12</v>
      </c>
      <c r="D11" s="11" t="s">
        <v>14</v>
      </c>
      <c r="E11" s="11" t="s">
        <v>17</v>
      </c>
      <c r="F11" s="15">
        <v>95</v>
      </c>
      <c r="G11" s="16">
        <v>59.99</v>
      </c>
      <c r="H11" s="17">
        <f t="shared" si="0"/>
        <v>5699.05</v>
      </c>
    </row>
    <row r="12" spans="1:8" x14ac:dyDescent="0.25">
      <c r="A12" s="14">
        <v>44206</v>
      </c>
      <c r="B12" s="11" t="s">
        <v>11</v>
      </c>
      <c r="C12" s="11" t="s">
        <v>11</v>
      </c>
      <c r="D12" s="11" t="s">
        <v>7</v>
      </c>
      <c r="E12" s="11" t="s">
        <v>18</v>
      </c>
      <c r="F12" s="15">
        <v>92</v>
      </c>
      <c r="G12" s="16">
        <v>6.99</v>
      </c>
      <c r="H12" s="17">
        <f t="shared" si="0"/>
        <v>643.08000000000004</v>
      </c>
    </row>
    <row r="13" spans="1:8" x14ac:dyDescent="0.25">
      <c r="A13" s="14">
        <v>44215</v>
      </c>
      <c r="B13" s="11" t="s">
        <v>12</v>
      </c>
      <c r="C13" s="11" t="s">
        <v>12</v>
      </c>
      <c r="D13" s="11" t="s">
        <v>6</v>
      </c>
      <c r="E13" s="11" t="s">
        <v>18</v>
      </c>
      <c r="F13" s="15">
        <v>127</v>
      </c>
      <c r="G13" s="16">
        <v>66.989999999999995</v>
      </c>
      <c r="H13" s="17">
        <f t="shared" si="0"/>
        <v>8507.73</v>
      </c>
    </row>
    <row r="14" spans="1:8" x14ac:dyDescent="0.25">
      <c r="A14" s="14">
        <v>44223</v>
      </c>
      <c r="B14" s="11" t="s">
        <v>10</v>
      </c>
      <c r="C14" s="11" t="s">
        <v>10</v>
      </c>
      <c r="D14" s="11" t="s">
        <v>2</v>
      </c>
      <c r="E14" s="11" t="s">
        <v>17</v>
      </c>
      <c r="F14" s="15">
        <v>236</v>
      </c>
      <c r="G14" s="16">
        <v>56.99</v>
      </c>
      <c r="H14" s="17">
        <f t="shared" si="0"/>
        <v>13449.640000000001</v>
      </c>
    </row>
    <row r="15" spans="1:8" x14ac:dyDescent="0.25">
      <c r="A15" s="14">
        <v>44240</v>
      </c>
      <c r="B15" s="11" t="s">
        <v>10</v>
      </c>
      <c r="C15" s="11" t="s">
        <v>10</v>
      </c>
      <c r="D15" s="11" t="s">
        <v>13</v>
      </c>
      <c r="E15" s="11" t="s">
        <v>17</v>
      </c>
      <c r="F15" s="15">
        <v>229</v>
      </c>
      <c r="G15" s="16">
        <v>66.989999999999995</v>
      </c>
      <c r="H15" s="17">
        <f t="shared" si="0"/>
        <v>15340.71</v>
      </c>
    </row>
    <row r="16" spans="1:8" x14ac:dyDescent="0.25">
      <c r="A16" s="14">
        <v>44249</v>
      </c>
      <c r="B16" s="11" t="s">
        <v>11</v>
      </c>
      <c r="C16" s="11" t="s">
        <v>11</v>
      </c>
      <c r="D16" s="11" t="s">
        <v>3</v>
      </c>
      <c r="E16" s="11" t="s">
        <v>18</v>
      </c>
      <c r="F16" s="15">
        <v>159</v>
      </c>
      <c r="G16" s="16">
        <v>46.92</v>
      </c>
      <c r="H16" s="17">
        <f t="shared" si="0"/>
        <v>7460.2800000000007</v>
      </c>
    </row>
    <row r="17" spans="1:8" x14ac:dyDescent="0.25">
      <c r="A17" s="14">
        <v>44257</v>
      </c>
      <c r="B17" s="11" t="s">
        <v>11</v>
      </c>
      <c r="C17" s="11" t="s">
        <v>11</v>
      </c>
      <c r="D17" s="11" t="s">
        <v>15</v>
      </c>
      <c r="E17" s="11" t="s">
        <v>20</v>
      </c>
      <c r="F17" s="15">
        <v>93</v>
      </c>
      <c r="G17" s="16">
        <v>46.92</v>
      </c>
      <c r="H17" s="17">
        <f t="shared" si="0"/>
        <v>4363.5600000000004</v>
      </c>
    </row>
    <row r="18" spans="1:8" x14ac:dyDescent="0.25">
      <c r="A18" s="14">
        <v>44274</v>
      </c>
      <c r="B18" s="11" t="s">
        <v>11</v>
      </c>
      <c r="C18" s="11" t="s">
        <v>11</v>
      </c>
      <c r="D18" s="11" t="s">
        <v>9</v>
      </c>
      <c r="E18" s="11" t="s">
        <v>16</v>
      </c>
      <c r="F18" s="15">
        <v>91</v>
      </c>
      <c r="G18" s="16">
        <v>36.29</v>
      </c>
      <c r="H18" s="17">
        <f t="shared" si="0"/>
        <v>3302.39</v>
      </c>
    </row>
    <row r="19" spans="1:8" x14ac:dyDescent="0.25">
      <c r="A19" s="14">
        <v>44283</v>
      </c>
      <c r="B19" s="11" t="s">
        <v>11</v>
      </c>
      <c r="C19" s="11" t="s">
        <v>11</v>
      </c>
      <c r="D19" s="11" t="s">
        <v>5</v>
      </c>
      <c r="E19" s="11" t="s">
        <v>18</v>
      </c>
      <c r="F19" s="15">
        <v>117</v>
      </c>
      <c r="G19" s="16">
        <v>46.92</v>
      </c>
      <c r="H19" s="17">
        <f t="shared" si="0"/>
        <v>5489.64</v>
      </c>
    </row>
    <row r="20" spans="1:8" x14ac:dyDescent="0.25">
      <c r="A20" s="14">
        <v>44291</v>
      </c>
      <c r="B20" s="11" t="s">
        <v>10</v>
      </c>
      <c r="C20" s="11" t="s">
        <v>10</v>
      </c>
      <c r="D20" s="11" t="s">
        <v>13</v>
      </c>
      <c r="E20" s="11" t="s">
        <v>20</v>
      </c>
      <c r="F20" s="15">
        <v>113</v>
      </c>
      <c r="G20" s="16">
        <v>13.99</v>
      </c>
      <c r="H20" s="17">
        <f t="shared" si="0"/>
        <v>1580.8700000000001</v>
      </c>
    </row>
    <row r="21" spans="1:8" x14ac:dyDescent="0.25">
      <c r="A21" s="14">
        <v>44300</v>
      </c>
      <c r="B21" s="11" t="s">
        <v>10</v>
      </c>
      <c r="C21" s="11" t="s">
        <v>10</v>
      </c>
      <c r="D21" s="11" t="s">
        <v>2</v>
      </c>
      <c r="E21" s="11" t="s">
        <v>16</v>
      </c>
      <c r="F21" s="15">
        <v>148</v>
      </c>
      <c r="G21" s="16">
        <v>59.99</v>
      </c>
      <c r="H21" s="17">
        <f t="shared" si="0"/>
        <v>8878.52</v>
      </c>
    </row>
    <row r="22" spans="1:8" x14ac:dyDescent="0.25">
      <c r="A22" s="14">
        <v>44308</v>
      </c>
      <c r="B22" s="11" t="s">
        <v>11</v>
      </c>
      <c r="C22" s="11" t="s">
        <v>11</v>
      </c>
      <c r="D22" s="11" t="s">
        <v>4</v>
      </c>
      <c r="E22" s="11" t="s">
        <v>18</v>
      </c>
      <c r="F22" s="15">
        <v>96</v>
      </c>
      <c r="G22" s="16">
        <v>66.989999999999995</v>
      </c>
      <c r="H22" s="17">
        <f t="shared" si="0"/>
        <v>6431.0399999999991</v>
      </c>
    </row>
    <row r="23" spans="1:8" x14ac:dyDescent="0.25">
      <c r="A23" s="14">
        <v>44317</v>
      </c>
      <c r="B23" s="11" t="s">
        <v>11</v>
      </c>
      <c r="C23" s="11" t="s">
        <v>11</v>
      </c>
      <c r="D23" s="11" t="s">
        <v>15</v>
      </c>
      <c r="E23" s="11" t="s">
        <v>18</v>
      </c>
      <c r="F23" s="15">
        <v>109</v>
      </c>
      <c r="G23" s="16">
        <v>66.989999999999995</v>
      </c>
      <c r="H23" s="17">
        <f t="shared" si="0"/>
        <v>7301.91</v>
      </c>
    </row>
    <row r="24" spans="1:8" x14ac:dyDescent="0.25">
      <c r="A24" s="14">
        <v>44325</v>
      </c>
      <c r="B24" s="11" t="s">
        <v>11</v>
      </c>
      <c r="C24" s="11" t="s">
        <v>11</v>
      </c>
      <c r="D24" s="11" t="s">
        <v>9</v>
      </c>
      <c r="E24" s="11" t="s">
        <v>18</v>
      </c>
      <c r="F24" s="15">
        <v>85</v>
      </c>
      <c r="G24" s="16">
        <v>66.989999999999995</v>
      </c>
      <c r="H24" s="17">
        <f t="shared" si="0"/>
        <v>5694.15</v>
      </c>
    </row>
    <row r="25" spans="1:8" x14ac:dyDescent="0.25">
      <c r="A25" s="14">
        <v>44334</v>
      </c>
      <c r="B25" s="11" t="s">
        <v>11</v>
      </c>
      <c r="C25" s="11" t="s">
        <v>11</v>
      </c>
      <c r="D25" s="11" t="s">
        <v>3</v>
      </c>
      <c r="E25" s="11" t="s">
        <v>16</v>
      </c>
      <c r="F25" s="15">
        <v>217</v>
      </c>
      <c r="G25" s="16">
        <v>46.92</v>
      </c>
      <c r="H25" s="17">
        <f t="shared" si="0"/>
        <v>10181.640000000001</v>
      </c>
    </row>
    <row r="26" spans="1:8" x14ac:dyDescent="0.25">
      <c r="A26" s="14">
        <v>44351</v>
      </c>
      <c r="B26" s="11" t="s">
        <v>11</v>
      </c>
      <c r="C26" s="11" t="s">
        <v>11</v>
      </c>
      <c r="D26" s="11" t="s">
        <v>4</v>
      </c>
      <c r="E26" s="11" t="s">
        <v>17</v>
      </c>
      <c r="F26" s="15">
        <v>200</v>
      </c>
      <c r="G26" s="16">
        <v>66.989999999999995</v>
      </c>
      <c r="H26" s="17">
        <f t="shared" si="0"/>
        <v>13397.999999999998</v>
      </c>
    </row>
    <row r="27" spans="1:8" x14ac:dyDescent="0.25">
      <c r="A27" s="14">
        <v>44359</v>
      </c>
      <c r="B27" s="11" t="s">
        <v>12</v>
      </c>
      <c r="C27" s="11" t="s">
        <v>12</v>
      </c>
      <c r="D27" s="11" t="s">
        <v>14</v>
      </c>
      <c r="E27" s="11" t="s">
        <v>18</v>
      </c>
      <c r="F27" s="15">
        <v>77</v>
      </c>
      <c r="G27" s="16">
        <v>66.989999999999995</v>
      </c>
      <c r="H27" s="17">
        <f t="shared" si="0"/>
        <v>5158.2299999999996</v>
      </c>
    </row>
    <row r="28" spans="1:8" x14ac:dyDescent="0.25">
      <c r="A28" s="14">
        <v>44368</v>
      </c>
      <c r="B28" s="11" t="s">
        <v>12</v>
      </c>
      <c r="C28" s="11" t="s">
        <v>12</v>
      </c>
      <c r="D28" s="11" t="s">
        <v>14</v>
      </c>
      <c r="E28" s="11" t="s">
        <v>16</v>
      </c>
      <c r="F28" s="15">
        <v>263</v>
      </c>
      <c r="G28" s="16">
        <v>45.34</v>
      </c>
      <c r="H28" s="17">
        <f t="shared" si="0"/>
        <v>11924.42</v>
      </c>
    </row>
    <row r="29" spans="1:8" x14ac:dyDescent="0.25">
      <c r="A29" s="14">
        <v>44368</v>
      </c>
      <c r="B29" s="11" t="s">
        <v>12</v>
      </c>
      <c r="C29" s="11" t="s">
        <v>12</v>
      </c>
      <c r="D29" s="11" t="s">
        <v>14</v>
      </c>
      <c r="E29" s="11" t="s">
        <v>16</v>
      </c>
      <c r="F29" s="15">
        <v>110</v>
      </c>
      <c r="G29" s="16">
        <v>45.34</v>
      </c>
      <c r="H29" s="17">
        <f t="shared" si="0"/>
        <v>4987.4000000000005</v>
      </c>
    </row>
    <row r="30" spans="1:8" x14ac:dyDescent="0.25">
      <c r="A30" s="14">
        <v>44376</v>
      </c>
      <c r="B30" s="11" t="s">
        <v>11</v>
      </c>
      <c r="C30" s="11" t="s">
        <v>11</v>
      </c>
      <c r="D30" s="11" t="s">
        <v>3</v>
      </c>
      <c r="E30" s="11" t="s">
        <v>20</v>
      </c>
      <c r="F30" s="15">
        <v>88</v>
      </c>
      <c r="G30" s="16">
        <v>46.92</v>
      </c>
      <c r="H30" s="17">
        <f t="shared" si="0"/>
        <v>4128.96</v>
      </c>
    </row>
    <row r="31" spans="1:8" x14ac:dyDescent="0.25">
      <c r="A31" s="14">
        <v>44385</v>
      </c>
      <c r="B31" s="11" t="s">
        <v>10</v>
      </c>
      <c r="C31" s="11" t="s">
        <v>10</v>
      </c>
      <c r="D31" s="11" t="s">
        <v>2</v>
      </c>
      <c r="E31" s="11" t="s">
        <v>18</v>
      </c>
      <c r="F31" s="15">
        <v>106</v>
      </c>
      <c r="G31" s="16">
        <v>46.92</v>
      </c>
      <c r="H31" s="17">
        <f t="shared" si="0"/>
        <v>4973.5200000000004</v>
      </c>
    </row>
    <row r="32" spans="1:8" x14ac:dyDescent="0.25">
      <c r="A32" s="14">
        <v>44402</v>
      </c>
      <c r="B32" s="11" t="s">
        <v>11</v>
      </c>
      <c r="C32" s="11" t="s">
        <v>11</v>
      </c>
      <c r="D32" s="11" t="s">
        <v>5</v>
      </c>
      <c r="E32" s="11" t="s">
        <v>16</v>
      </c>
      <c r="F32" s="15">
        <v>75</v>
      </c>
      <c r="G32" s="16">
        <v>59.99</v>
      </c>
      <c r="H32" s="17">
        <f t="shared" si="0"/>
        <v>4499.25</v>
      </c>
    </row>
    <row r="33" spans="1:8" x14ac:dyDescent="0.25">
      <c r="A33" s="14">
        <v>44410</v>
      </c>
      <c r="B33" s="11" t="s">
        <v>10</v>
      </c>
      <c r="C33" s="11" t="s">
        <v>10</v>
      </c>
      <c r="D33" s="11" t="s">
        <v>8</v>
      </c>
      <c r="E33" s="11" t="s">
        <v>17</v>
      </c>
      <c r="F33" s="15">
        <v>281</v>
      </c>
      <c r="G33" s="16">
        <v>46.92</v>
      </c>
      <c r="H33" s="17">
        <f t="shared" si="0"/>
        <v>13184.52</v>
      </c>
    </row>
    <row r="34" spans="1:8" x14ac:dyDescent="0.25">
      <c r="A34" s="14">
        <v>44427</v>
      </c>
      <c r="B34" s="11" t="s">
        <v>11</v>
      </c>
      <c r="C34" s="11" t="s">
        <v>11</v>
      </c>
      <c r="D34" s="11" t="s">
        <v>4</v>
      </c>
      <c r="E34" s="11" t="s">
        <v>16</v>
      </c>
      <c r="F34" s="15">
        <v>223</v>
      </c>
      <c r="G34" s="16">
        <v>27</v>
      </c>
      <c r="H34" s="17">
        <f t="shared" si="0"/>
        <v>6021</v>
      </c>
    </row>
    <row r="35" spans="1:8" x14ac:dyDescent="0.25">
      <c r="A35" s="14">
        <v>44436</v>
      </c>
      <c r="B35" s="11" t="s">
        <v>12</v>
      </c>
      <c r="C35" s="11" t="s">
        <v>12</v>
      </c>
      <c r="D35" s="11" t="s">
        <v>6</v>
      </c>
      <c r="E35" s="11" t="s">
        <v>16</v>
      </c>
      <c r="F35" s="15">
        <v>280</v>
      </c>
      <c r="G35" s="16">
        <v>59.99</v>
      </c>
      <c r="H35" s="17">
        <f t="shared" si="0"/>
        <v>16797.2</v>
      </c>
    </row>
    <row r="36" spans="1:8" x14ac:dyDescent="0.25">
      <c r="A36" s="14">
        <v>44461</v>
      </c>
      <c r="B36" s="11" t="s">
        <v>11</v>
      </c>
      <c r="C36" s="11" t="s">
        <v>11</v>
      </c>
      <c r="D36" s="11" t="s">
        <v>15</v>
      </c>
      <c r="E36" s="11" t="s">
        <v>21</v>
      </c>
      <c r="F36" s="15">
        <v>215</v>
      </c>
      <c r="G36" s="16">
        <v>10.5</v>
      </c>
      <c r="H36" s="17">
        <f t="shared" si="0"/>
        <v>2257.5</v>
      </c>
    </row>
    <row r="37" spans="1:8" x14ac:dyDescent="0.25">
      <c r="A37" s="14">
        <v>44470</v>
      </c>
      <c r="B37" s="11" t="s">
        <v>11</v>
      </c>
      <c r="C37" s="11" t="s">
        <v>11</v>
      </c>
      <c r="D37" s="11" t="s">
        <v>7</v>
      </c>
      <c r="E37" s="11" t="s">
        <v>16</v>
      </c>
      <c r="F37" s="15">
        <v>178</v>
      </c>
      <c r="G37" s="16">
        <v>46.92</v>
      </c>
      <c r="H37" s="17">
        <f t="shared" si="0"/>
        <v>8351.76</v>
      </c>
    </row>
    <row r="38" spans="1:8" x14ac:dyDescent="0.25">
      <c r="A38" s="18">
        <v>44487</v>
      </c>
      <c r="B38" s="13" t="s">
        <v>10</v>
      </c>
      <c r="C38" s="13" t="s">
        <v>10</v>
      </c>
      <c r="D38" s="13" t="s">
        <v>8</v>
      </c>
      <c r="E38" s="13" t="s">
        <v>18</v>
      </c>
      <c r="F38" s="19">
        <v>117</v>
      </c>
      <c r="G38" s="20">
        <v>59.99</v>
      </c>
      <c r="H38" s="21">
        <f t="shared" si="0"/>
        <v>7018.83</v>
      </c>
    </row>
  </sheetData>
  <mergeCells count="1">
    <mergeCell ref="A1:H1"/>
  </mergeCells>
  <conditionalFormatting sqref="G3:G38">
    <cfRule type="cellIs" dxfId="3" priority="2" operator="greaterThan">
      <formula>50</formula>
    </cfRule>
  </conditionalFormatting>
  <conditionalFormatting sqref="H3:H3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{70AF5CFE-8CFE-4F4D-960F-50AA1C61B6A6}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AF5CFE-8CFE-4F4D-960F-50AA1C61B6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H3:H38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B3BC-1AF4-4888-BA7B-87ABB27A7AF7}">
  <dimension ref="A1:M9"/>
  <sheetViews>
    <sheetView workbookViewId="0">
      <selection activeCell="A3" sqref="A3:A6"/>
    </sheetView>
  </sheetViews>
  <sheetFormatPr defaultRowHeight="15" x14ac:dyDescent="0.25"/>
  <sheetData>
    <row r="1" spans="1:13" ht="27" x14ac:dyDescent="0.25">
      <c r="B1" s="33" t="s">
        <v>33</v>
      </c>
      <c r="C1" s="33" t="s">
        <v>37</v>
      </c>
      <c r="D1" s="33" t="s">
        <v>34</v>
      </c>
      <c r="E1" s="33" t="s">
        <v>38</v>
      </c>
      <c r="F1" s="33" t="s">
        <v>39</v>
      </c>
      <c r="G1" s="33" t="s">
        <v>40</v>
      </c>
      <c r="H1" s="33" t="s">
        <v>41</v>
      </c>
      <c r="I1" s="33" t="s">
        <v>42</v>
      </c>
      <c r="J1" s="33" t="s">
        <v>43</v>
      </c>
      <c r="K1" s="33" t="s">
        <v>44</v>
      </c>
      <c r="L1" s="33" t="s">
        <v>45</v>
      </c>
      <c r="M1" s="33" t="s">
        <v>46</v>
      </c>
    </row>
    <row r="2" spans="1:13" x14ac:dyDescent="0.25">
      <c r="A2" t="s">
        <v>20</v>
      </c>
    </row>
    <row r="3" spans="1:13" x14ac:dyDescent="0.25">
      <c r="A3" t="s">
        <v>26</v>
      </c>
    </row>
    <row r="4" spans="1:13" x14ac:dyDescent="0.25">
      <c r="A4" t="s">
        <v>27</v>
      </c>
    </row>
    <row r="5" spans="1:13" x14ac:dyDescent="0.25">
      <c r="A5" t="s">
        <v>28</v>
      </c>
    </row>
    <row r="6" spans="1:13" x14ac:dyDescent="0.25">
      <c r="A6" t="s">
        <v>29</v>
      </c>
    </row>
    <row r="7" spans="1:13" x14ac:dyDescent="0.25">
      <c r="A7" t="s">
        <v>17</v>
      </c>
    </row>
    <row r="8" spans="1:13" x14ac:dyDescent="0.25">
      <c r="A8" t="s">
        <v>16</v>
      </c>
    </row>
    <row r="9" spans="1:13" x14ac:dyDescent="0.25">
      <c r="A9" t="s">
        <v>21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enna xmlns="http://customxml.org">
  <kers>Z8Co/uAtii069tYjglQjXdOVQOiwCPxuQr4B0X5bxeg=</kers>
  <massa>11/9/2025 1:03:57 PM</massa>
  <hamilton>true</hamilton>
</senna>
</file>

<file path=customXml/itemProps1.xml><?xml version="1.0" encoding="utf-8"?>
<ds:datastoreItem xmlns:ds="http://schemas.openxmlformats.org/officeDocument/2006/customXml" ds:itemID="{44F8E731-2D9E-499F-8D1F-8C4460398FC1}">
  <ds:schemaRefs>
    <ds:schemaRef ds:uri="http://customxml.org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By Region</vt:lpstr>
      <vt:lpstr>Sales Data</vt:lpstr>
      <vt:lpstr>Sales Analysis</vt:lpstr>
      <vt:lpstr>Sales Template</vt:lpstr>
      <vt:lpstr>Region_1</vt:lpstr>
      <vt:lpstr>Region_2</vt:lpstr>
      <vt:lpstr>Region_3</vt:lpstr>
      <vt:lpstr>Region_4</vt:lpstr>
      <vt:lpstr>Region1Total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Promise Beshel</cp:lastModifiedBy>
  <dcterms:created xsi:type="dcterms:W3CDTF">2010-07-16T23:08:47Z</dcterms:created>
  <dcterms:modified xsi:type="dcterms:W3CDTF">2025-11-09T21:26:05Z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_schema_validation">
    <vt:lpwstr>[{"Key":"kers","Value":"Z8Co/uAtii069tYjglQjXdOVQOiwCPxuQr4B0X5bxeg="},{"Key":"massa","Value":"11/9/2025 1:03:57 PM"},{"Key":"hamilton","Value":"true"}]</vt:lpwstr>
  </property>
</Properties>
</file>