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BYU ENSIGN\BEP\"/>
    </mc:Choice>
  </mc:AlternateContent>
  <xr:revisionPtr revIDLastSave="0" documentId="13_ncr:1_{016DF29A-8060-4D35-9042-5FCDE25A99C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Year En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4" l="1"/>
  <c r="C12" i="4"/>
  <c r="C33" i="4" l="1"/>
</calcChain>
</file>

<file path=xl/sharedStrings.xml><?xml version="1.0" encoding="utf-8"?>
<sst xmlns="http://schemas.openxmlformats.org/spreadsheetml/2006/main" count="28" uniqueCount="28">
  <si>
    <t>As of December 31</t>
  </si>
  <si>
    <t>Boyd Logistics</t>
  </si>
  <si>
    <t>Income Statement</t>
  </si>
  <si>
    <t>Revenue</t>
  </si>
  <si>
    <t>Other revenue</t>
  </si>
  <si>
    <t>Total Revenues</t>
  </si>
  <si>
    <t>Expenses</t>
  </si>
  <si>
    <t>Employee benefits</t>
  </si>
  <si>
    <t>Payroll taxes</t>
  </si>
  <si>
    <t>Utilities</t>
  </si>
  <si>
    <t>Web hosting and domains</t>
  </si>
  <si>
    <t>Other</t>
  </si>
  <si>
    <t>Total Expenses</t>
  </si>
  <si>
    <t>Net Income Before Taxes</t>
  </si>
  <si>
    <t>Shipping services</t>
  </si>
  <si>
    <t>Receiving services</t>
  </si>
  <si>
    <t>Interest earned</t>
  </si>
  <si>
    <t>Driver salaries</t>
  </si>
  <si>
    <t>Sales commissions</t>
  </si>
  <si>
    <t>Vehicle maintenance and repairs</t>
  </si>
  <si>
    <t>GPS services</t>
  </si>
  <si>
    <t>Vehicle depreciation</t>
  </si>
  <si>
    <t>Vehicle insurance</t>
  </si>
  <si>
    <t>Administrative salaries and wages</t>
  </si>
  <si>
    <t>Office rent</t>
  </si>
  <si>
    <t>Administrative and office supplies</t>
  </si>
  <si>
    <t>Packing materials</t>
  </si>
  <si>
    <t>Warehouse equipment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</si>
</sst>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-[$$-409]* #,##0_ ;_-[$$-409]* \-#,##0\ ;_-[$$-409]* &quot;-&quot;??_ ;_-@_ "/>
  </numFmts>
  <fonts count="7" x14ac:knownFonts="1">
    <font>
      <sz val="11"/>
      <color theme="1"/>
      <name val="Tw Cen MT"/>
      <family val="2"/>
      <scheme val="minor"/>
    </font>
    <font>
      <i/>
      <sz val="18"/>
      <color theme="1"/>
      <name val="Tw Cen MT"/>
      <family val="2"/>
      <scheme val="minor"/>
    </font>
    <font>
      <sz val="10"/>
      <color rgb="FF000000"/>
      <name val="Franklin Gothic Book"/>
      <family val="2"/>
    </font>
    <font>
      <sz val="10"/>
      <color rgb="FF262626"/>
      <name val="Franklin Gothic Book"/>
      <family val="2"/>
    </font>
    <font>
      <sz val="11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165" fontId="4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4" fillId="0" borderId="0" xfId="2"/>
    <xf numFmtId="0" fontId="4" fillId="0" borderId="0" xfId="2" applyAlignment="1">
      <alignment horizontal="centerContinuous"/>
    </xf>
    <xf numFmtId="164" fontId="2" fillId="0" borderId="0" xfId="2" applyNumberFormat="1" applyFont="1"/>
    <xf numFmtId="166" fontId="4" fillId="0" borderId="0" xfId="2" applyNumberFormat="1"/>
    <xf numFmtId="0" fontId="1" fillId="0" borderId="0" xfId="2" applyFont="1" applyAlignment="1">
      <alignment horizontal="center"/>
    </xf>
    <xf numFmtId="0" fontId="5" fillId="0" borderId="0" xfId="2" applyFont="1"/>
    <xf numFmtId="0" fontId="4" fillId="2" borderId="0" xfId="2" applyFill="1"/>
    <xf numFmtId="3" fontId="4" fillId="0" borderId="0" xfId="2" applyNumberFormat="1"/>
    <xf numFmtId="0" fontId="3" fillId="0" borderId="0" xfId="2" applyFont="1"/>
    <xf numFmtId="167" fontId="4" fillId="0" borderId="0" xfId="2" applyNumberFormat="1"/>
    <xf numFmtId="167" fontId="0" fillId="0" borderId="0" xfId="1" applyNumberFormat="1" applyFont="1"/>
    <xf numFmtId="167" fontId="4" fillId="0" borderId="1" xfId="2" applyNumberFormat="1" applyBorder="1"/>
    <xf numFmtId="167" fontId="4" fillId="0" borderId="2" xfId="2" applyNumberFormat="1" applyBorder="1"/>
    <xf numFmtId="0" fontId="6" fillId="0" borderId="0" xfId="2" applyFont="1" applyAlignment="1">
      <alignment horizontal="left"/>
    </xf>
    <xf numFmtId="0" fontId="4" fillId="0" borderId="0" xfId="2" applyAlignment="1">
      <alignment horizontal="left" indent="1"/>
    </xf>
    <xf numFmtId="0" fontId="4" fillId="0" borderId="0" xfId="2" applyAlignment="1">
      <alignment horizontal="right"/>
    </xf>
    <xf numFmtId="41" fontId="4" fillId="0" borderId="0" xfId="2" applyNumberFormat="1"/>
    <xf numFmtId="41" fontId="4" fillId="0" borderId="1" xfId="2" applyNumberFormat="1" applyBorder="1"/>
  </cellXfs>
  <cellStyles count="3">
    <cellStyle name="Comma#FGvwYjHqDqkJIDtLafT7sgNRrW7E9PDs4pDulbZqOYY=" xfId="1" xr:uid="{00000000-0005-0000-0000-000002000000}"/>
    <cellStyle name="Normal" xfId="0" builtinId="0"/>
    <cellStyle name="Normal#i04lexc/VELTyYhR+eM3cVbe7+4UoEzaaEwoQ1Bvhkk=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1981201</xdr:colOff>
      <xdr:row>0</xdr:row>
      <xdr:rowOff>149226</xdr:rowOff>
    </xdr:from>
    <xdr:to>
      <xdr:col>2</xdr:col>
      <xdr:colOff>968423</xdr:colOff>
      <xdr:row>4</xdr:row>
      <xdr:rowOff>4763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D0CBD4A-C9C5-4777-BFAB-D1C93DCD68DB}"/>
            </a:ext>
          </a:extLst>
        </xdr:cNvPr>
        <xdr:cNvGrpSpPr/>
      </xdr:nvGrpSpPr>
      <xdr:grpSpPr>
        <a:xfrm>
          <a:off x="1981201" y="149226"/>
          <a:ext cx="2530522" cy="903287"/>
          <a:chOff x="9302703" y="1285875"/>
          <a:chExt cx="1555797" cy="914400"/>
        </a:xfrm>
      </xdr:grpSpPr>
      <xdr:pic>
        <xdr:nvPicPr>
          <xdr:cNvPr id="3" name="Graphic 2" descr="Take Off outline">
            <a:extLst>
              <a:ext uri="{FF2B5EF4-FFF2-40B4-BE49-F238E27FC236}">
                <a16:creationId xmlns:a16="http://schemas.microsoft.com/office/drawing/2014/main" id="{98B8507A-A4F9-4D1A-9456-C6A45105A4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620250" y="1285875"/>
            <a:ext cx="914400" cy="914400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255B8BD-72A2-437C-A5D8-B10A6FCD4F10}"/>
              </a:ext>
            </a:extLst>
          </xdr:cNvPr>
          <xdr:cNvSpPr/>
        </xdr:nvSpPr>
        <xdr:spPr>
          <a:xfrm>
            <a:off x="9302703" y="1636210"/>
            <a:ext cx="1555797" cy="46801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U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Boyd</a:t>
            </a:r>
          </a:p>
        </xdr:txBody>
      </xdr: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F3CA-E80C-4D92-88C1-E94F692AD531}">
  <sheetPr>
    <tabColor theme="5"/>
  </sheetPr>
  <dimension ref="A1:P43"/>
  <sheetViews>
    <sheetView tabSelected="1" view="pageLayout" topLeftCell="A31" zoomScaleNormal="100" workbookViewId="0">
      <selection activeCell="F42" sqref="F42"/>
    </sheetView>
  </sheetViews>
  <sheetFormatPr defaultRowHeight="14.25" x14ac:dyDescent="0.2"/>
  <cols>
    <col min="1" max="1" width="32" style="1" customWidth="1"/>
    <col min="2" max="2" width="13.625" style="1" customWidth="1"/>
    <col min="3" max="3" width="12.5" style="1" customWidth="1"/>
    <col min="8" max="8" width="9" style="1" customWidth="1"/>
  </cols>
  <sheetData>
    <row r="1" spans="1:16" x14ac:dyDescent="0.2">
      <c r="A1" s="7"/>
      <c r="B1" s="7"/>
      <c r="C1" s="7"/>
    </row>
    <row r="2" spans="1:16" ht="23.25" x14ac:dyDescent="0.35">
      <c r="A2" s="14" t="s">
        <v>1</v>
      </c>
      <c r="B2" s="5"/>
      <c r="C2" s="5"/>
      <c r="D2" s="2"/>
    </row>
    <row r="3" spans="1:16" ht="23.25" x14ac:dyDescent="0.35">
      <c r="A3" s="14" t="s">
        <v>2</v>
      </c>
      <c r="B3" s="5"/>
      <c r="C3" s="5"/>
      <c r="D3" s="2"/>
    </row>
    <row r="4" spans="1:16" ht="21.75" customHeight="1" x14ac:dyDescent="0.35">
      <c r="A4" s="14" t="s">
        <v>0</v>
      </c>
      <c r="B4" s="5"/>
      <c r="C4" s="5"/>
      <c r="D4" s="2"/>
    </row>
    <row r="5" spans="1:16" ht="17.25" customHeight="1" x14ac:dyDescent="0.2">
      <c r="A5" s="7"/>
      <c r="B5" s="7"/>
      <c r="C5" s="7"/>
    </row>
    <row r="6" spans="1:16" ht="17.25" customHeight="1" x14ac:dyDescent="0.2"/>
    <row r="7" spans="1:16" ht="15.95" customHeight="1" x14ac:dyDescent="0.2">
      <c r="A7" s="1" t="s">
        <v>3</v>
      </c>
    </row>
    <row r="8" spans="1:16" ht="15.95" customHeight="1" x14ac:dyDescent="0.2">
      <c r="A8" s="15" t="s">
        <v>14</v>
      </c>
      <c r="B8" s="11">
        <v>8000000</v>
      </c>
    </row>
    <row r="9" spans="1:16" ht="15.95" customHeight="1" x14ac:dyDescent="0.2">
      <c r="A9" s="15" t="s">
        <v>15</v>
      </c>
      <c r="B9" s="17">
        <v>4000000</v>
      </c>
    </row>
    <row r="10" spans="1:16" ht="15.95" customHeight="1" x14ac:dyDescent="0.2">
      <c r="A10" s="15" t="s">
        <v>16</v>
      </c>
      <c r="B10" s="17">
        <v>5000</v>
      </c>
    </row>
    <row r="11" spans="1:16" ht="15.95" customHeight="1" x14ac:dyDescent="0.2">
      <c r="A11" s="15" t="s">
        <v>4</v>
      </c>
      <c r="B11" s="18"/>
    </row>
    <row r="12" spans="1:16" ht="15.95" customHeight="1" x14ac:dyDescent="0.2">
      <c r="A12" s="16" t="s">
        <v>5</v>
      </c>
      <c r="C12" s="12">
        <f>SUM(B8:B11)</f>
        <v>12005000</v>
      </c>
    </row>
    <row r="13" spans="1:16" ht="15.95" customHeight="1" x14ac:dyDescent="0.25">
      <c r="P13" s="6"/>
    </row>
    <row r="14" spans="1:16" ht="15.95" customHeight="1" x14ac:dyDescent="0.2">
      <c r="A14" s="1" t="s">
        <v>6</v>
      </c>
    </row>
    <row r="15" spans="1:16" ht="15.95" customHeight="1" x14ac:dyDescent="0.2">
      <c r="A15" s="15" t="s">
        <v>17</v>
      </c>
      <c r="B15" s="10">
        <v>5000000</v>
      </c>
    </row>
    <row r="16" spans="1:16" ht="15.95" customHeight="1" x14ac:dyDescent="0.2">
      <c r="A16" s="15" t="s">
        <v>26</v>
      </c>
      <c r="B16" s="17">
        <v>250000</v>
      </c>
    </row>
    <row r="17" spans="1:8" ht="15.95" customHeight="1" x14ac:dyDescent="0.2">
      <c r="A17" s="15" t="s">
        <v>20</v>
      </c>
      <c r="B17" s="17">
        <v>45000</v>
      </c>
    </row>
    <row r="18" spans="1:8" ht="15.95" customHeight="1" x14ac:dyDescent="0.2">
      <c r="A18" s="15" t="s">
        <v>19</v>
      </c>
      <c r="B18" s="17">
        <v>55000</v>
      </c>
    </row>
    <row r="19" spans="1:8" ht="15.95" customHeight="1" x14ac:dyDescent="0.2">
      <c r="A19" s="15" t="s">
        <v>27</v>
      </c>
      <c r="B19" s="17">
        <v>55000</v>
      </c>
    </row>
    <row r="20" spans="1:8" ht="15.95" customHeight="1" x14ac:dyDescent="0.2">
      <c r="A20" s="15" t="s">
        <v>18</v>
      </c>
      <c r="B20" s="17">
        <v>35000</v>
      </c>
    </row>
    <row r="21" spans="1:8" ht="15.95" customHeight="1" x14ac:dyDescent="0.2">
      <c r="A21" s="15" t="s">
        <v>10</v>
      </c>
      <c r="B21" s="17">
        <v>12000</v>
      </c>
    </row>
    <row r="22" spans="1:8" ht="15.95" customHeight="1" x14ac:dyDescent="0.2">
      <c r="A22" s="15" t="s">
        <v>21</v>
      </c>
      <c r="B22" s="17">
        <v>24000</v>
      </c>
    </row>
    <row r="23" spans="1:8" ht="15.95" customHeight="1" x14ac:dyDescent="0.2">
      <c r="A23" s="15" t="s">
        <v>22</v>
      </c>
      <c r="B23" s="17">
        <v>65000</v>
      </c>
    </row>
    <row r="24" spans="1:8" ht="15.95" customHeight="1" x14ac:dyDescent="0.2">
      <c r="A24" s="15" t="s">
        <v>7</v>
      </c>
      <c r="B24" s="17">
        <v>45000</v>
      </c>
    </row>
    <row r="25" spans="1:8" ht="15.95" customHeight="1" x14ac:dyDescent="0.2">
      <c r="A25" s="15" t="s">
        <v>25</v>
      </c>
      <c r="B25" s="17">
        <v>6000</v>
      </c>
    </row>
    <row r="26" spans="1:8" ht="15.95" customHeight="1" x14ac:dyDescent="0.2">
      <c r="A26" s="15" t="s">
        <v>23</v>
      </c>
      <c r="B26" s="17">
        <v>1250000</v>
      </c>
      <c r="H26" s="4"/>
    </row>
    <row r="27" spans="1:8" ht="15.95" customHeight="1" x14ac:dyDescent="0.2">
      <c r="A27" s="15" t="s">
        <v>8</v>
      </c>
      <c r="B27" s="17">
        <v>95000</v>
      </c>
    </row>
    <row r="28" spans="1:8" ht="15.95" customHeight="1" x14ac:dyDescent="0.2">
      <c r="A28" s="15" t="s">
        <v>24</v>
      </c>
      <c r="B28" s="17">
        <v>90000</v>
      </c>
    </row>
    <row r="29" spans="1:8" ht="15.95" customHeight="1" x14ac:dyDescent="0.2">
      <c r="A29" s="15" t="s">
        <v>9</v>
      </c>
      <c r="B29" s="17">
        <v>35000</v>
      </c>
    </row>
    <row r="30" spans="1:8" ht="15.95" customHeight="1" x14ac:dyDescent="0.2">
      <c r="A30" s="15" t="s">
        <v>11</v>
      </c>
      <c r="B30" s="18">
        <v>1200</v>
      </c>
    </row>
    <row r="31" spans="1:8" ht="15.95" customHeight="1" x14ac:dyDescent="0.2">
      <c r="A31" s="16" t="s">
        <v>12</v>
      </c>
      <c r="C31" s="12">
        <f>SUM(B15:B30)</f>
        <v>7063200</v>
      </c>
    </row>
    <row r="32" spans="1:8" ht="15.95" customHeight="1" x14ac:dyDescent="0.25">
      <c r="C32" s="9"/>
      <c r="D32" s="3"/>
    </row>
    <row r="33" spans="1:3" ht="15.95" customHeight="1" thickBot="1" x14ac:dyDescent="0.25">
      <c r="A33" s="16" t="s">
        <v>13</v>
      </c>
      <c r="C33" s="13">
        <f>C12-C31</f>
        <v>4941800</v>
      </c>
    </row>
    <row r="34" spans="1:3" ht="15.95" customHeight="1" thickTop="1" x14ac:dyDescent="0.2"/>
    <row r="35" spans="1:3" ht="15.95" customHeight="1" x14ac:dyDescent="0.2"/>
    <row r="36" spans="1:3" ht="15.95" customHeight="1" x14ac:dyDescent="0.2">
      <c r="B36" s="8"/>
    </row>
    <row r="43" spans="1:3" x14ac:dyDescent="0.2">
      <c r="B43" s="8"/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headerFooter>
    <oddFooter>&amp;RPromise.Beshel-BoydLogistics-01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enna xmlns="http://customxml.org">
  <kers>Z8Co/uAtii3S14Bo3pJwEoYqJ/PBfHxj7OeadLnOd34=</kers>
  <massa>10/30/2025 4:53:12 PM</massa>
  <hamilton>true</hamilton>
</senn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E36E6551-6012-4E55-93D9-47A81FE97AE2}">
  <ds:schemaRefs>
    <ds:schemaRef ds:uri="http://customxml.org"/>
  </ds:schemaRefs>
</ds:datastoreItem>
</file>

<file path=customXml/itemProps2.xml><?xml version="1.0" encoding="utf-8"?>
<ds:datastoreItem xmlns:ds="http://schemas.openxmlformats.org/officeDocument/2006/customXml" ds:itemID="{2BD1F6CA-4916-4922-ACB8-68BA123BCC47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0f3a39ba-5f65-44c3-864e-d3035d8378c1"/>
  </ds:schemaRefs>
</ds:datastoreItem>
</file>

<file path=customXml/itemProps3.xml><?xml version="1.0" encoding="utf-8"?>
<ds:datastoreItem xmlns:ds="http://schemas.openxmlformats.org/officeDocument/2006/customXml" ds:itemID="{8AC9DBAB-7797-48DB-B2F9-3C45ADFD519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794A72-5FE3-4FBF-A05C-3B15ADC6F4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F1C48C6-5762-4600-A242-8C6FA41F4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Statement</dc:title>
  <dc:creator>Promise Beshel</dc:creator>
  <cp:lastModifiedBy>Promise Beshel</cp:lastModifiedBy>
  <cp:lastPrinted>2025-10-30T22:33:23Z</cp:lastPrinted>
  <dcterms:created xsi:type="dcterms:W3CDTF">2014-10-11T22:56:53Z</dcterms:created>
  <dcterms:modified xsi:type="dcterms:W3CDTF">2025-10-31T00:43:14Z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  <property fmtid="{D5CDD505-2E9C-101B-9397-08002B2CF9AE}" pid="3" name="ms_schema_validation">
    <vt:lpwstr>[{"Key":"kers","Value":"Z8Co/uAtii3S14Bo3pJwEoYqJ/PBfHxj7OeadLnOd34="},{"Key":"massa","Value":"10/30/2025 4:53:12 PM"},{"Key":"hamilton","Value":"true"}]</vt:lpwstr>
  </property>
</Properties>
</file>